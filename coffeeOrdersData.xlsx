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AB714886-6FB4-458F-837C-5C66FD3F84B5}" xr6:coauthVersionLast="47" xr6:coauthVersionMax="47" xr10:uidLastSave="{00000000-0000-0000-0000-000000000000}"/>
  <bookViews>
    <workbookView xWindow="-108" yWindow="-108" windowWidth="23256" windowHeight="12456" xr2:uid="{00000000-000D-0000-FFFF-FFFF00000000}"/>
  </bookViews>
  <sheets>
    <sheet name="Dashboard" sheetId="21" r:id="rId1"/>
    <sheet name="Total Sales" sheetId="18" r:id="rId2"/>
    <sheet name="Country Bar Chart" sheetId="19" r:id="rId3"/>
    <sheet name="Top 5 Customers" sheetId="20"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N884" i="17"/>
  <c r="M37" i="17"/>
  <c r="M116" i="17"/>
  <c r="M180" i="17"/>
  <c r="M244" i="17"/>
  <c r="M308" i="17"/>
  <c r="M372" i="17"/>
  <c r="M436" i="17"/>
  <c r="M457" i="17"/>
  <c r="M477" i="17"/>
  <c r="M500" i="17"/>
  <c r="M521" i="17"/>
  <c r="M541" i="17"/>
  <c r="M564" i="17"/>
  <c r="M585" i="17"/>
  <c r="M605" i="17"/>
  <c r="M621" i="17"/>
  <c r="M637" i="17"/>
  <c r="M653" i="17"/>
  <c r="M669" i="17"/>
  <c r="M697" i="17"/>
  <c r="M708" i="17"/>
  <c r="M722" i="17"/>
  <c r="M733" i="17"/>
  <c r="M746" i="17"/>
  <c r="M756" i="17"/>
  <c r="M765" i="17"/>
  <c r="M775" i="17"/>
  <c r="M784" i="17"/>
  <c r="M793" i="17"/>
  <c r="M802" i="17"/>
  <c r="M820" i="17"/>
  <c r="M829" i="17"/>
  <c r="M839" i="17"/>
  <c r="M848" i="17"/>
  <c r="M857" i="17"/>
  <c r="M866"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L747" i="17"/>
  <c r="M747" i="17" s="1"/>
  <c r="L748" i="17"/>
  <c r="M748" i="17" s="1"/>
  <c r="L749" i="17"/>
  <c r="M749" i="17" s="1"/>
  <c r="L750" i="17"/>
  <c r="M750" i="17" s="1"/>
  <c r="L751" i="17"/>
  <c r="M751" i="17" s="1"/>
  <c r="L752" i="17"/>
  <c r="M752" i="17" s="1"/>
  <c r="L753" i="17"/>
  <c r="M753" i="17" s="1"/>
  <c r="L754" i="17"/>
  <c r="M754" i="17" s="1"/>
  <c r="L755" i="17"/>
  <c r="M755" i="17" s="1"/>
  <c r="L756" i="17"/>
  <c r="L757" i="17"/>
  <c r="M757" i="17" s="1"/>
  <c r="L758" i="17"/>
  <c r="M758" i="17" s="1"/>
  <c r="L759" i="17"/>
  <c r="M759" i="17" s="1"/>
  <c r="L760" i="17"/>
  <c r="M760" i="17" s="1"/>
  <c r="L761" i="17"/>
  <c r="M761" i="17" s="1"/>
  <c r="L762" i="17"/>
  <c r="M762" i="17" s="1"/>
  <c r="L763" i="17"/>
  <c r="M763" i="17" s="1"/>
  <c r="L764" i="17"/>
  <c r="M764" i="17" s="1"/>
  <c r="L765" i="17"/>
  <c r="L766" i="17"/>
  <c r="M766" i="17" s="1"/>
  <c r="L767" i="17"/>
  <c r="M767" i="17" s="1"/>
  <c r="L768" i="17"/>
  <c r="M768" i="17" s="1"/>
  <c r="L769" i="17"/>
  <c r="M769" i="17" s="1"/>
  <c r="L770" i="17"/>
  <c r="M770" i="17" s="1"/>
  <c r="L771" i="17"/>
  <c r="M771" i="17" s="1"/>
  <c r="L772" i="17"/>
  <c r="M772" i="17" s="1"/>
  <c r="L773" i="17"/>
  <c r="M773" i="17" s="1"/>
  <c r="L774" i="17"/>
  <c r="M774" i="17" s="1"/>
  <c r="L775" i="17"/>
  <c r="L776" i="17"/>
  <c r="M776" i="17" s="1"/>
  <c r="L777" i="17"/>
  <c r="M777" i="17" s="1"/>
  <c r="L778" i="17"/>
  <c r="M778" i="17" s="1"/>
  <c r="L779" i="17"/>
  <c r="M779" i="17" s="1"/>
  <c r="L780" i="17"/>
  <c r="M780" i="17" s="1"/>
  <c r="L781" i="17"/>
  <c r="M781" i="17" s="1"/>
  <c r="L782" i="17"/>
  <c r="M782" i="17" s="1"/>
  <c r="L783" i="17"/>
  <c r="M783" i="17" s="1"/>
  <c r="L784" i="17"/>
  <c r="L785" i="17"/>
  <c r="M785" i="17" s="1"/>
  <c r="L786" i="17"/>
  <c r="M786" i="17" s="1"/>
  <c r="L787" i="17"/>
  <c r="M787" i="17" s="1"/>
  <c r="L788" i="17"/>
  <c r="M788" i="17" s="1"/>
  <c r="L789" i="17"/>
  <c r="M789" i="17" s="1"/>
  <c r="L790" i="17"/>
  <c r="M790" i="17" s="1"/>
  <c r="L791" i="17"/>
  <c r="M791" i="17" s="1"/>
  <c r="L792" i="17"/>
  <c r="M792" i="17" s="1"/>
  <c r="L793" i="17"/>
  <c r="L794" i="17"/>
  <c r="M794" i="17" s="1"/>
  <c r="L795" i="17"/>
  <c r="M795" i="17" s="1"/>
  <c r="L796" i="17"/>
  <c r="M796" i="17" s="1"/>
  <c r="L797" i="17"/>
  <c r="M797" i="17" s="1"/>
  <c r="L798" i="17"/>
  <c r="M798" i="17" s="1"/>
  <c r="L799" i="17"/>
  <c r="M799" i="17" s="1"/>
  <c r="L800" i="17"/>
  <c r="M800" i="17" s="1"/>
  <c r="L801" i="17"/>
  <c r="M801" i="17" s="1"/>
  <c r="L802" i="17"/>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L821" i="17"/>
  <c r="M821" i="17" s="1"/>
  <c r="L822" i="17"/>
  <c r="M822" i="17" s="1"/>
  <c r="L823" i="17"/>
  <c r="M823" i="17" s="1"/>
  <c r="L824" i="17"/>
  <c r="M824" i="17" s="1"/>
  <c r="L825" i="17"/>
  <c r="M825" i="17" s="1"/>
  <c r="L826" i="17"/>
  <c r="M826" i="17" s="1"/>
  <c r="L827" i="17"/>
  <c r="M827" i="17" s="1"/>
  <c r="L828" i="17"/>
  <c r="M828" i="17" s="1"/>
  <c r="L829" i="17"/>
  <c r="L830" i="17"/>
  <c r="M830" i="17" s="1"/>
  <c r="L831" i="17"/>
  <c r="M831" i="17" s="1"/>
  <c r="L832" i="17"/>
  <c r="M832" i="17" s="1"/>
  <c r="L833" i="17"/>
  <c r="M833" i="17" s="1"/>
  <c r="L834" i="17"/>
  <c r="M834" i="17" s="1"/>
  <c r="L835" i="17"/>
  <c r="M835" i="17" s="1"/>
  <c r="L836" i="17"/>
  <c r="M836" i="17" s="1"/>
  <c r="L837" i="17"/>
  <c r="M837" i="17" s="1"/>
  <c r="L838" i="17"/>
  <c r="M838" i="17" s="1"/>
  <c r="L839" i="17"/>
  <c r="L840" i="17"/>
  <c r="M840" i="17" s="1"/>
  <c r="L841" i="17"/>
  <c r="M841" i="17" s="1"/>
  <c r="L842" i="17"/>
  <c r="M842" i="17" s="1"/>
  <c r="L843" i="17"/>
  <c r="M843" i="17" s="1"/>
  <c r="L844" i="17"/>
  <c r="M844" i="17" s="1"/>
  <c r="L845" i="17"/>
  <c r="M845" i="17" s="1"/>
  <c r="L846" i="17"/>
  <c r="M846" i="17" s="1"/>
  <c r="L847" i="17"/>
  <c r="M847" i="17" s="1"/>
  <c r="L848" i="17"/>
  <c r="L849" i="17"/>
  <c r="M849" i="17" s="1"/>
  <c r="L850" i="17"/>
  <c r="M850" i="17" s="1"/>
  <c r="L851" i="17"/>
  <c r="M851" i="17" s="1"/>
  <c r="L852" i="17"/>
  <c r="M852" i="17" s="1"/>
  <c r="L853" i="17"/>
  <c r="M853" i="17" s="1"/>
  <c r="L854" i="17"/>
  <c r="M854" i="17" s="1"/>
  <c r="L855" i="17"/>
  <c r="M855" i="17" s="1"/>
  <c r="L856" i="17"/>
  <c r="M856" i="17" s="1"/>
  <c r="L857" i="17"/>
  <c r="L858" i="17"/>
  <c r="M858" i="17" s="1"/>
  <c r="L859" i="17"/>
  <c r="M859" i="17" s="1"/>
  <c r="L860" i="17"/>
  <c r="M860" i="17" s="1"/>
  <c r="L861" i="17"/>
  <c r="M861" i="17" s="1"/>
  <c r="L862" i="17"/>
  <c r="M862" i="17" s="1"/>
  <c r="L863" i="17"/>
  <c r="M863" i="17" s="1"/>
  <c r="L864" i="17"/>
  <c r="M864" i="17" s="1"/>
  <c r="L865" i="17"/>
  <c r="M865" i="17" s="1"/>
  <c r="L866" i="17"/>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J3" i="17"/>
  <c r="O3" i="17" s="1"/>
  <c r="J4" i="17"/>
  <c r="O4" i="17" s="1"/>
  <c r="J5" i="17"/>
  <c r="O5" i="17" s="1"/>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2" i="17"/>
  <c r="O122" i="17" s="1"/>
  <c r="J123" i="17"/>
  <c r="O123" i="17" s="1"/>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58" i="17"/>
  <c r="O958" i="17" s="1"/>
  <c r="J959" i="17"/>
  <c r="O959" i="17" s="1"/>
  <c r="J960" i="17"/>
  <c r="O960"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3" i="17"/>
  <c r="O993" i="17" s="1"/>
  <c r="J994" i="17"/>
  <c r="O994" i="17" s="1"/>
  <c r="J995" i="17"/>
  <c r="O995" i="17" s="1"/>
  <c r="J996" i="17"/>
  <c r="O996" i="17" s="1"/>
  <c r="J997" i="17"/>
  <c r="O997" i="17" s="1"/>
  <c r="J998" i="17"/>
  <c r="O998" i="17" s="1"/>
  <c r="J999" i="17"/>
  <c r="O999" i="17" s="1"/>
  <c r="J1000" i="17"/>
  <c r="O1000" i="17" s="1"/>
  <c r="J1001" i="17"/>
  <c r="O1001" i="17" s="1"/>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K2" i="17"/>
  <c r="I2" i="17"/>
  <c r="N2" i="17" s="1"/>
  <c r="J2" i="17"/>
  <c r="O2" i="17" s="1"/>
  <c r="L2" i="17"/>
  <c r="M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<sst xmlns="http://schemas.openxmlformats.org/spreadsheetml/2006/main" count="11128" uniqueCount="6221">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</sst>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409]d\-mmm\-yyyy;@"/>
    <numFmt numFmtId="166" formatCode="0.0&quot;kg&quot;"/>
    <numFmt numFmtId="167" formatCode="_([$$-409]* #,##0.00_);_([$$-409]* \(#,##0.00\);_([$$-409]* &quot;-&quot;??_);_(@_)"/>
    <numFmt numFmtId="168" formatCode="[$$-409]#,##0_);\([$$-409]#,##0\)"/>
  </numFmts>
  <fonts count="4" x14ac:knownFonts="1">
    <font>
      <sz val="11"/>
      <color theme="1"/>
      <name val="Calibri"/>
      <family val="2"/>
      <scheme val="minor"/>
    </font>
    <font>
      <sz val="11"/>
      <color indexed="8"/>
      <name val="Calibri"/>
      <family val="2"/>
    </font>
    <font>
      <b/>
      <sz val="11"/>
      <color theme="1"/>
      <name val="Calibri"/>
      <family val="2"/>
      <scheme val="minor"/>
    </font>
    <font>
      <b/>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3" fillId="0" borderId="0" xfId="0" applyFont="1" applyAlignment="1">
      <alignment vertical="center"/>
    </xf>
    <xf numFmtId="0" fontId="2" fillId="0" borderId="0" xfId="0" applyFont="1"/>
    <xf numFmtId="0" fontId="0" fillId="0" borderId="0" xfId="0" pivotButton="1"/>
    <xf numFmtId="37" fontId="0" fillId="0" borderId="0" xfId="0" applyNumberFormat="1"/>
    <xf numFmtId="168" fontId="0" fillId="0" borderId="0" xfId="0" applyNumberFormat="1"/>
  </cellXfs>
  <cellStyles count="1">
    <cellStyle name="Normal" xfId="0" builtinId="0"/>
  </cellStyles>
  <dxfs count="18">
    <dxf>
      <font>
        <b/>
        <i val="0"/>
        <color auto="1"/>
        <name val="Calibri"/>
        <family val="2"/>
        <scheme val="minor"/>
      </font>
    </dxf>
    <dxf>
      <font>
        <b val="0"/>
        <i val="0"/>
        <color auto="1"/>
        <name val="Calibri"/>
        <family val="2"/>
        <scheme val="minor"/>
      </font>
      <fill>
        <patternFill>
          <bgColor rgb="FFBC72B7"/>
        </patternFill>
      </fill>
      <border>
        <left style="thin">
          <color auto="1"/>
        </left>
        <right style="thin">
          <color auto="1"/>
        </right>
        <top style="thin">
          <color auto="1"/>
        </top>
        <bottom style="thin">
          <color auto="1"/>
        </bottom>
      </border>
    </dxf>
    <dxf>
      <numFmt numFmtId="0" formatCode="General"/>
    </dxf>
    <dxf>
      <numFmt numFmtId="167" formatCode="_([$$-409]* #,##0.00_);_([$$-409]* \(#,##0.00\);_([$$-409]* &quot;-&quot;??_);_(@_)"/>
    </dxf>
    <dxf>
      <numFmt numFmtId="167" formatCode="_([$$-409]* #,##0.00_);_([$$-409]* \(#,##0.00\);_([$$-409]* &quot;-&quot;??_);_(@_)"/>
    </dxf>
    <dxf>
      <numFmt numFmtId="166" formatCode="0.0&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409]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1"/>
        <name val="Calibri"/>
        <family val="2"/>
        <scheme val="minor"/>
      </font>
    </dxf>
    <dxf>
      <font>
        <b val="0"/>
        <i val="0"/>
        <sz val="11"/>
        <name val="Calibri"/>
        <family val="2"/>
        <scheme val="minor"/>
      </font>
      <fill>
        <patternFill patternType="solid">
          <fgColor theme="0"/>
          <bgColor rgb="FFCB4DB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3" defaultTableStyle="TableStyleMedium2" defaultPivotStyle="PivotStyleMedium9">
    <tableStyle name="Pink slicer" pivot="0" table="0" count="6" xr9:uid="{049D83ED-5D5E-467B-AAE3-77F526D4DE88}">
      <tableStyleElement type="wholeTable" dxfId="1"/>
      <tableStyleElement type="headerRow" dxfId="0"/>
    </tableStyle>
    <tableStyle name="Pink Timeline Style" pivot="0" table="0" count="8" xr9:uid="{098AF39B-5277-4E7C-B958-AD454EE4290E}">
      <tableStyleElement type="wholeTable" dxfId="17"/>
      <tableStyleElement type="headerRow" dxfId="16"/>
    </tableStyle>
    <tableStyle name="Pink2Timeline Style" pivot="0" table="0" count="8" xr9:uid="{D31D6476-31AC-47C0-B376-93CB34BDFC4F}">
      <tableStyleElement type="wholeTable" dxfId="15"/>
      <tableStyleElement type="headerRow" dxfId="14"/>
    </tableStyle>
  </tableStyles>
  <colors>
    <mruColors>
      <color rgb="FFF3BFEF"/>
      <color rgb="FFCB4DB0"/>
      <color rgb="FFA94D0F"/>
      <color rgb="FF552707"/>
      <color rgb="FFBC72B7"/>
      <color rgb="FFE67EDF"/>
      <color rgb="FFB45210"/>
    </mruColors>
  </colors>
  <extLst>
    <ext xmlns:x14="http://schemas.microsoft.com/office/spreadsheetml/2009/9/main" uri="{46F421CA-312F-682f-3DD2-61675219B42D}">
      <x14:dxfs count="4">
        <dxf>
          <font>
            <b val="0"/>
            <i val="0"/>
            <strike/>
            <color theme="1" tint="0.499984740745262"/>
            <name val="Calibri"/>
            <family val="2"/>
            <scheme val="minor"/>
          </font>
          <border>
            <left style="thin">
              <color auto="1"/>
            </left>
            <right style="thin">
              <color auto="1"/>
            </right>
            <top style="thin">
              <color auto="1"/>
            </top>
            <bottom style="thin">
              <color auto="1"/>
            </bottom>
          </border>
        </dxf>
        <dxf>
          <font>
            <b val="0"/>
            <i val="0"/>
            <strike/>
            <color theme="1" tint="0.499984740745262"/>
            <name val="Calibri"/>
            <family val="2"/>
            <scheme val="minor"/>
          </font>
          <border>
            <left style="thin">
              <color auto="1"/>
            </left>
            <right style="thin">
              <color auto="1"/>
            </right>
            <top style="thin">
              <color auto="1"/>
            </top>
            <bottom style="thin">
              <color auto="1"/>
            </bottom>
          </border>
        </dxf>
        <dxf>
          <font>
            <b/>
            <i val="0"/>
            <name val="Calibri"/>
            <family val="2"/>
            <scheme val="minor"/>
          </font>
          <border>
            <left style="thin">
              <color auto="1"/>
            </left>
            <right style="thin">
              <color auto="1"/>
            </right>
            <top style="thin">
              <color auto="1"/>
            </top>
            <bottom style="thin">
              <color auto="1"/>
            </bottom>
          </border>
        </dxf>
        <dxf>
          <font>
            <b/>
            <i val="0"/>
            <name val="Calibri"/>
            <family val="2"/>
            <scheme val="minor"/>
          </font>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Pink slicer">
          <x14:slicerStyleElements>
            <x14:slicerStyleElement type="unselectedItemWithData" dxfId="1"/>
            <x14:slicerStyleElement type="unselectedItemWithNoData" dxfId="0"/>
            <x14:slicerStyleElement type="selectedItemWithData" dxfId="3"/>
            <x14:slicerStyleElement type="selectedItemWithNoData" dxfId="2"/>
          </x14:slicerStyleElements>
        </x14:slicerStyle>
      </x14:slicerStyles>
    </ext>
    <ext xmlns:x15="http://schemas.microsoft.com/office/spreadsheetml/2010/11/main" uri="{A0A4C193-F2C1-4fcb-8827-314CF55A85BB}">
      <x15:dxfs count="12">
        <dxf>
          <fill>
            <patternFill patternType="solid">
              <fgColor theme="0" tint="-0.14999847407452621"/>
              <bgColor theme="0" tint="-0.14999847407452621"/>
            </patternFill>
          </fill>
        </dxf>
        <dxf>
          <fill>
            <patternFill patternType="solid">
              <fgColor theme="0"/>
              <bgColor theme="0"/>
            </patternFill>
          </fill>
        </dxf>
        <dxf>
          <font>
            <b/>
            <i val="0"/>
            <sz val="11"/>
            <color theme="1"/>
            <name val="Calibri"/>
            <family val="2"/>
            <scheme val="minor"/>
          </font>
        </dxf>
        <dxf>
          <font>
            <b/>
            <i val="0"/>
            <sz val="11"/>
            <color theme="1"/>
            <name val="Calibri"/>
            <family val="2"/>
            <scheme val="minor"/>
          </font>
        </dxf>
        <dxf>
          <font>
            <b/>
            <i val="0"/>
            <sz val="11"/>
            <color theme="1"/>
            <name val="Calibri"/>
            <family val="2"/>
            <scheme val="minor"/>
          </font>
        </dxf>
        <dxf>
          <font>
            <b/>
            <i val="0"/>
            <sz val="11"/>
            <color theme="1"/>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Pink Timeline Style">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Pink2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Sales!TotalSales</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Over Time</a:t>
            </a:r>
          </a:p>
        </c:rich>
      </c:tx>
      <c:layout>
        <c:manualLayout>
          <c:xMode val="edge"/>
          <c:yMode val="edge"/>
          <c:x val="0.39076788830715531"/>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B4521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B4521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B4521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678086596791297E-2"/>
          <c:y val="4.5662100456621002E-2"/>
          <c:w val="0.76269472110688152"/>
          <c:h val="0.76757337151037941"/>
        </c:manualLayout>
      </c:layout>
      <c:lineChart>
        <c:grouping val="standard"/>
        <c:varyColors val="0"/>
        <c:ser>
          <c:idx val="0"/>
          <c:order val="0"/>
          <c:tx>
            <c:strRef>
              <c:f>'Total Sales'!$C$3:$C$4</c:f>
              <c:strCache>
                <c:ptCount val="1"/>
                <c:pt idx="0">
                  <c:v>Arabica</c:v>
                </c:pt>
              </c:strCache>
            </c:strRef>
          </c:tx>
          <c:spPr>
            <a:ln w="28575" cap="rnd">
              <a:solidFill>
                <a:schemeClr val="accent1">
                  <a:lumMod val="75000"/>
                </a:schemeClr>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F046-4C22-84AC-11DEFF1A93B7}"/>
            </c:ext>
          </c:extLst>
        </c:ser>
        <c:ser>
          <c:idx val="1"/>
          <c:order val="1"/>
          <c:tx>
            <c:strRef>
              <c:f>'Total Sales'!$D$3:$D$4</c:f>
              <c:strCache>
                <c:ptCount val="1"/>
                <c:pt idx="0">
                  <c:v>Excelsa</c:v>
                </c:pt>
              </c:strCache>
            </c:strRef>
          </c:tx>
          <c:spPr>
            <a:ln w="28575" cap="rnd">
              <a:solidFill>
                <a:srgbClr val="B4521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F046-4C22-84AC-11DEFF1A93B7}"/>
            </c:ext>
          </c:extLst>
        </c:ser>
        <c:ser>
          <c:idx val="2"/>
          <c:order val="2"/>
          <c:tx>
            <c:strRef>
              <c:f>'Total Sales'!$E$3:$E$4</c:f>
              <c:strCache>
                <c:ptCount val="1"/>
                <c:pt idx="0">
                  <c:v>Liberica</c:v>
                </c:pt>
              </c:strCache>
            </c:strRef>
          </c:tx>
          <c:spPr>
            <a:ln w="28575" cap="rnd">
              <a:solidFill>
                <a:srgbClr val="FFFF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5-F046-4C22-84AC-11DEFF1A93B7}"/>
            </c:ext>
          </c:extLst>
        </c:ser>
        <c:ser>
          <c:idx val="3"/>
          <c:order val="3"/>
          <c:tx>
            <c:strRef>
              <c:f>'Total Sales'!$F$3:$F$4</c:f>
              <c:strCache>
                <c:ptCount val="1"/>
                <c:pt idx="0">
                  <c:v>Robusta</c:v>
                </c:pt>
              </c:strCache>
            </c:strRef>
          </c:tx>
          <c:spPr>
            <a:ln w="28575" cap="rnd">
              <a:solidFill>
                <a:srgbClr val="FF00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6-F046-4C22-84AC-11DEFF1A93B7}"/>
            </c:ext>
          </c:extLst>
        </c:ser>
        <c:dLbls>
          <c:showLegendKey val="0"/>
          <c:showVal val="0"/>
          <c:showCatName val="0"/>
          <c:showSerName val="0"/>
          <c:showPercent val="0"/>
          <c:showBubbleSize val="0"/>
        </c:dLbls>
        <c:smooth val="0"/>
        <c:axId val="1352654320"/>
        <c:axId val="1297152576"/>
      </c:lineChart>
      <c:catAx>
        <c:axId val="135265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152576"/>
        <c:crosses val="autoZero"/>
        <c:auto val="1"/>
        <c:lblAlgn val="ctr"/>
        <c:lblOffset val="100"/>
        <c:noMultiLvlLbl val="0"/>
      </c:catAx>
      <c:valAx>
        <c:axId val="1297152576"/>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layout>
            <c:manualLayout>
              <c:xMode val="edge"/>
              <c:yMode val="edge"/>
              <c:x val="0"/>
              <c:y val="0.3841435313543553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654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3BFE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Bar Chart!TotalSales</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Country</a:t>
            </a:r>
            <a:endParaRPr lang="en-US"/>
          </a:p>
        </c:rich>
      </c:tx>
      <c:layout>
        <c:manualLayout>
          <c:xMode val="edge"/>
          <c:yMode val="edge"/>
          <c:x val="0.3555842224603582"/>
          <c:y val="3.76642108925573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52707"/>
          </a:solidFill>
          <a:ln w="12700">
            <a:solidFill>
              <a:schemeClr val="tx1"/>
            </a:solidFill>
          </a:ln>
          <a:effectLst/>
        </c:spPr>
      </c:pivotFmt>
      <c:pivotFmt>
        <c:idx val="2"/>
        <c:spPr>
          <a:solidFill>
            <a:srgbClr val="A94D0F"/>
          </a:solidFill>
          <a:ln w="12700">
            <a:solidFill>
              <a:schemeClr val="tx1"/>
            </a:solidFill>
          </a:ln>
          <a:effectLst/>
        </c:spPr>
      </c:pivotFmt>
      <c:pivotFmt>
        <c:idx val="3"/>
        <c:spPr>
          <a:solidFill>
            <a:schemeClr val="accent2"/>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A94D0F"/>
          </a:solidFill>
          <a:ln w="12700">
            <a:solidFill>
              <a:schemeClr val="tx1"/>
            </a:solidFill>
          </a:ln>
          <a:effectLst/>
        </c:spPr>
      </c:pivotFmt>
      <c:pivotFmt>
        <c:idx val="5"/>
        <c:spPr>
          <a:solidFill>
            <a:srgbClr val="552707"/>
          </a:solidFill>
          <a:ln w="12700">
            <a:solidFill>
              <a:schemeClr val="tx1"/>
            </a:solidFill>
          </a:ln>
          <a:effectLst/>
        </c:spPr>
      </c:pivotFmt>
      <c:pivotFmt>
        <c:idx val="6"/>
        <c:spPr>
          <a:solidFill>
            <a:schemeClr val="accent2"/>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A94D0F"/>
          </a:solidFill>
          <a:ln w="12700">
            <a:solidFill>
              <a:schemeClr val="tx1"/>
            </a:solidFill>
          </a:ln>
          <a:effectLst/>
        </c:spPr>
      </c:pivotFmt>
      <c:pivotFmt>
        <c:idx val="8"/>
        <c:spPr>
          <a:solidFill>
            <a:srgbClr val="552707"/>
          </a:solidFill>
          <a:ln w="12700">
            <a:solidFill>
              <a:schemeClr val="tx1"/>
            </a:solidFill>
          </a:ln>
          <a:effectLst/>
        </c:spPr>
      </c:pivotFmt>
    </c:pivotFmts>
    <c:plotArea>
      <c:layout/>
      <c:barChart>
        <c:barDir val="bar"/>
        <c:grouping val="clustered"/>
        <c:varyColors val="0"/>
        <c:ser>
          <c:idx val="0"/>
          <c:order val="0"/>
          <c:tx>
            <c:strRef>
              <c:f>'Country Bar Chart'!$B$3</c:f>
              <c:strCache>
                <c:ptCount val="1"/>
                <c:pt idx="0">
                  <c:v>Total</c:v>
                </c:pt>
              </c:strCache>
            </c:strRef>
          </c:tx>
          <c:spPr>
            <a:solidFill>
              <a:schemeClr val="accent2"/>
            </a:solidFill>
            <a:ln w="12700">
              <a:solidFill>
                <a:schemeClr val="tx1"/>
              </a:solidFill>
            </a:ln>
            <a:effectLst/>
          </c:spPr>
          <c:invertIfNegative val="0"/>
          <c:dPt>
            <c:idx val="1"/>
            <c:invertIfNegative val="0"/>
            <c:bubble3D val="0"/>
            <c:spPr>
              <a:solidFill>
                <a:srgbClr val="A94D0F"/>
              </a:solidFill>
              <a:ln w="12700">
                <a:solidFill>
                  <a:schemeClr val="tx1"/>
                </a:solidFill>
              </a:ln>
              <a:effectLst/>
            </c:spPr>
            <c:extLst>
              <c:ext xmlns:c16="http://schemas.microsoft.com/office/drawing/2014/chart" uri="{C3380CC4-5D6E-409C-BE32-E72D297353CC}">
                <c16:uniqueId val="{00000001-BD2C-4E39-B367-05C205680655}"/>
              </c:ext>
            </c:extLst>
          </c:dPt>
          <c:dPt>
            <c:idx val="2"/>
            <c:invertIfNegative val="0"/>
            <c:bubble3D val="0"/>
            <c:spPr>
              <a:solidFill>
                <a:srgbClr val="552707"/>
              </a:solidFill>
              <a:ln w="12700">
                <a:solidFill>
                  <a:schemeClr val="tx1"/>
                </a:solidFill>
              </a:ln>
              <a:effectLst/>
            </c:spPr>
            <c:extLst>
              <c:ext xmlns:c16="http://schemas.microsoft.com/office/drawing/2014/chart" uri="{C3380CC4-5D6E-409C-BE32-E72D297353CC}">
                <c16:uniqueId val="{00000003-BD2C-4E39-B367-05C20568065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United Kingdom</c:v>
                </c:pt>
                <c:pt idx="1">
                  <c:v>Ireland</c:v>
                </c:pt>
                <c:pt idx="2">
                  <c:v>United States</c:v>
                </c:pt>
              </c:strCache>
            </c:strRef>
          </c:cat>
          <c:val>
            <c:numRef>
              <c:f>'Country Bar Chart'!$B$4:$B$6</c:f>
              <c:numCache>
                <c:formatCode>[$$-409]#,##0_);\([$$-409]#,##0\)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4-BD2C-4E39-B367-05C205680655}"/>
            </c:ext>
          </c:extLst>
        </c:ser>
        <c:dLbls>
          <c:dLblPos val="outEnd"/>
          <c:showLegendKey val="0"/>
          <c:showVal val="1"/>
          <c:showCatName val="0"/>
          <c:showSerName val="0"/>
          <c:showPercent val="0"/>
          <c:showBubbleSize val="0"/>
        </c:dLbls>
        <c:gapWidth val="182"/>
        <c:axId val="448532720"/>
        <c:axId val="448526000"/>
      </c:barChart>
      <c:catAx>
        <c:axId val="44853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526000"/>
        <c:crosses val="autoZero"/>
        <c:auto val="1"/>
        <c:lblAlgn val="ctr"/>
        <c:lblOffset val="100"/>
        <c:noMultiLvlLbl val="0"/>
      </c:catAx>
      <c:valAx>
        <c:axId val="448526000"/>
        <c:scaling>
          <c:orientation val="minMax"/>
        </c:scaling>
        <c:delete val="0"/>
        <c:axPos val="b"/>
        <c:majorGridlines>
          <c:spPr>
            <a:ln w="9525" cap="flat" cmpd="sng" algn="ctr">
              <a:solidFill>
                <a:schemeClr val="bg1">
                  <a:lumMod val="95000"/>
                </a:schemeClr>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53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3BFE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 Customers!TotalSales</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a:t>
            </a:r>
          </a:p>
        </c:rich>
      </c:tx>
      <c:layout>
        <c:manualLayout>
          <c:xMode val="edge"/>
          <c:yMode val="edge"/>
          <c:x val="0.3555842224603582"/>
          <c:y val="3.76642108925573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52707"/>
          </a:solidFill>
          <a:ln w="12700">
            <a:solidFill>
              <a:schemeClr val="tx1"/>
            </a:solidFill>
          </a:ln>
          <a:effectLst/>
        </c:spPr>
      </c:pivotFmt>
      <c:pivotFmt>
        <c:idx val="2"/>
        <c:spPr>
          <a:solidFill>
            <a:srgbClr val="A94D0F"/>
          </a:solidFill>
          <a:ln w="12700">
            <a:solidFill>
              <a:schemeClr val="tx1"/>
            </a:solidFill>
          </a:ln>
          <a:effectLst/>
        </c:spPr>
      </c:pivotFmt>
      <c:pivotFmt>
        <c:idx val="3"/>
        <c:spPr>
          <a:solidFill>
            <a:schemeClr val="accent2"/>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A94D0F"/>
          </a:solidFill>
          <a:ln w="12700">
            <a:solidFill>
              <a:schemeClr val="tx1"/>
            </a:solidFill>
          </a:ln>
          <a:effectLst/>
        </c:spPr>
      </c:pivotFmt>
      <c:pivotFmt>
        <c:idx val="5"/>
        <c:spPr>
          <a:solidFill>
            <a:srgbClr val="552707"/>
          </a:solidFill>
          <a:ln w="12700">
            <a:solidFill>
              <a:schemeClr val="tx1"/>
            </a:solidFill>
          </a:ln>
          <a:effectLst/>
        </c:spPr>
      </c:pivotFmt>
      <c:pivotFmt>
        <c:idx val="6"/>
        <c:spPr>
          <a:solidFill>
            <a:schemeClr val="accent2"/>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accent2"/>
            </a:solidFill>
            <a:ln w="12700">
              <a:solidFill>
                <a:schemeClr val="tx1"/>
              </a:solidFill>
            </a:ln>
            <a:effectLst/>
          </c:spPr>
          <c:invertIfNegative val="0"/>
          <c:dPt>
            <c:idx val="1"/>
            <c:invertIfNegative val="0"/>
            <c:bubble3D val="0"/>
            <c:extLst>
              <c:ext xmlns:c16="http://schemas.microsoft.com/office/drawing/2014/chart" uri="{C3380CC4-5D6E-409C-BE32-E72D297353CC}">
                <c16:uniqueId val="{00000000-9913-4762-ADB8-BF777E547482}"/>
              </c:ext>
            </c:extLst>
          </c:dPt>
          <c:dPt>
            <c:idx val="2"/>
            <c:invertIfNegative val="0"/>
            <c:bubble3D val="0"/>
            <c:extLst>
              <c:ext xmlns:c16="http://schemas.microsoft.com/office/drawing/2014/chart" uri="{C3380CC4-5D6E-409C-BE32-E72D297353CC}">
                <c16:uniqueId val="{00000001-9913-4762-ADB8-BF777E54748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[$$-409]#,##0_);\([$$-409]#,##0\)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2-9913-4762-ADB8-BF777E547482}"/>
            </c:ext>
          </c:extLst>
        </c:ser>
        <c:dLbls>
          <c:dLblPos val="outEnd"/>
          <c:showLegendKey val="0"/>
          <c:showVal val="1"/>
          <c:showCatName val="0"/>
          <c:showSerName val="0"/>
          <c:showPercent val="0"/>
          <c:showBubbleSize val="0"/>
        </c:dLbls>
        <c:gapWidth val="182"/>
        <c:axId val="448532720"/>
        <c:axId val="448526000"/>
      </c:barChart>
      <c:catAx>
        <c:axId val="44853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526000"/>
        <c:crosses val="autoZero"/>
        <c:auto val="1"/>
        <c:lblAlgn val="ctr"/>
        <c:lblOffset val="100"/>
        <c:noMultiLvlLbl val="0"/>
      </c:catAx>
      <c:valAx>
        <c:axId val="448526000"/>
        <c:scaling>
          <c:orientation val="minMax"/>
        </c:scaling>
        <c:delete val="0"/>
        <c:axPos val="b"/>
        <c:majorGridlines>
          <c:spPr>
            <a:ln w="9525" cap="flat" cmpd="sng" algn="ctr">
              <a:solidFill>
                <a:schemeClr val="bg1">
                  <a:lumMod val="95000"/>
                </a:schemeClr>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53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3BFE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7620</xdr:colOff>
      <xdr:row>1</xdr:row>
      <xdr:rowOff>22860</xdr:rowOff>
    </xdr:from>
    <xdr:to>
      <xdr:col>25</xdr:col>
      <xdr:colOff>601980</xdr:colOff>
      <xdr:row>4</xdr:row>
      <xdr:rowOff>91440</xdr:rowOff>
    </xdr:to>
    <xdr:sp macro="" textlink="">
      <xdr:nvSpPr>
        <xdr:cNvPr id="3" name="Rectangle 2">
          <a:extLst>
            <a:ext uri="{FF2B5EF4-FFF2-40B4-BE49-F238E27FC236}">
              <a16:creationId xmlns:a16="http://schemas.microsoft.com/office/drawing/2014/main" id="{8FBB37CB-8AAB-F7D9-9B88-BA6E2F153CC6}"/>
            </a:ext>
          </a:extLst>
        </xdr:cNvPr>
        <xdr:cNvSpPr/>
      </xdr:nvSpPr>
      <xdr:spPr>
        <a:xfrm>
          <a:off x="129540" y="83820"/>
          <a:ext cx="15224760" cy="617220"/>
        </a:xfrm>
        <a:prstGeom prst="rect">
          <a:avLst/>
        </a:prstGeom>
        <a:solidFill>
          <a:srgbClr val="CB4DB0"/>
        </a:solidFill>
        <a:ln>
          <a:solidFill>
            <a:srgbClr val="F3BFE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a:solidFill>
                <a:sysClr val="windowText" lastClr="000000"/>
              </a:solidFill>
            </a:rPr>
            <a:t>COFFEE</a:t>
          </a:r>
          <a:r>
            <a:rPr lang="en-US" sz="3600" baseline="0">
              <a:solidFill>
                <a:sysClr val="windowText" lastClr="000000"/>
              </a:solidFill>
            </a:rPr>
            <a:t> SALES DASHBOARD</a:t>
          </a:r>
          <a:endParaRPr lang="en-US" sz="3600">
            <a:solidFill>
              <a:sysClr val="windowText" lastClr="000000"/>
            </a:solidFill>
          </a:endParaRPr>
        </a:p>
      </xdr:txBody>
    </xdr:sp>
    <xdr:clientData/>
  </xdr:twoCellAnchor>
  <xdr:twoCellAnchor>
    <xdr:from>
      <xdr:col>1</xdr:col>
      <xdr:colOff>10885</xdr:colOff>
      <xdr:row>14</xdr:row>
      <xdr:rowOff>40278</xdr:rowOff>
    </xdr:from>
    <xdr:to>
      <xdr:col>17</xdr:col>
      <xdr:colOff>10886</xdr:colOff>
      <xdr:row>44</xdr:row>
      <xdr:rowOff>108858</xdr:rowOff>
    </xdr:to>
    <xdr:graphicFrame macro="">
      <xdr:nvGraphicFramePr>
        <xdr:cNvPr id="4" name="Chart 3">
          <a:extLst>
            <a:ext uri="{FF2B5EF4-FFF2-40B4-BE49-F238E27FC236}">
              <a16:creationId xmlns:a16="http://schemas.microsoft.com/office/drawing/2014/main" id="{2E017CBF-9AC0-443D-AA7A-EA019A1FAE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15239</xdr:colOff>
      <xdr:row>5</xdr:row>
      <xdr:rowOff>0</xdr:rowOff>
    </xdr:from>
    <xdr:to>
      <xdr:col>16</xdr:col>
      <xdr:colOff>587828</xdr:colOff>
      <xdr:row>13</xdr:row>
      <xdr:rowOff>174171</xdr:rowOff>
    </xdr:to>
    <mc:AlternateContent xmlns:mc="http://schemas.openxmlformats.org/markup-compatibility/2006">
      <mc:Choice xmlns:tsle="http://schemas.microsoft.com/office/drawing/2012/timeslicer" Requires="tsle">
        <xdr:graphicFrame macro="">
          <xdr:nvGraphicFramePr>
            <xdr:cNvPr id="5" name="Order Date">
              <a:extLst>
                <a:ext uri="{FF2B5EF4-FFF2-40B4-BE49-F238E27FC236}">
                  <a16:creationId xmlns:a16="http://schemas.microsoft.com/office/drawing/2014/main" id="{36412DAE-8E5A-4FE5-9F63-2C22007927EA}"/>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39064" y="781050"/>
              <a:ext cx="9716589" cy="162197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18</xdr:col>
      <xdr:colOff>34018</xdr:colOff>
      <xdr:row>9</xdr:row>
      <xdr:rowOff>30483</xdr:rowOff>
    </xdr:from>
    <xdr:to>
      <xdr:col>22</xdr:col>
      <xdr:colOff>361950</xdr:colOff>
      <xdr:row>13</xdr:row>
      <xdr:rowOff>174171</xdr:rowOff>
    </xdr:to>
    <mc:AlternateContent xmlns:mc="http://schemas.openxmlformats.org/markup-compatibility/2006">
      <mc:Choice xmlns:a14="http://schemas.microsoft.com/office/drawing/2010/main" Requires="a14">
        <xdr:graphicFrame macro="">
          <xdr:nvGraphicFramePr>
            <xdr:cNvPr id="6" name="Size">
              <a:extLst>
                <a:ext uri="{FF2B5EF4-FFF2-40B4-BE49-F238E27FC236}">
                  <a16:creationId xmlns:a16="http://schemas.microsoft.com/office/drawing/2014/main" id="{A4FEAE73-9043-4B38-A80C-A290AA6786D6}"/>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0035268" y="1535433"/>
              <a:ext cx="2280557" cy="8675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5441</xdr:colOff>
      <xdr:row>4</xdr:row>
      <xdr:rowOff>97972</xdr:rowOff>
    </xdr:from>
    <xdr:to>
      <xdr:col>26</xdr:col>
      <xdr:colOff>0</xdr:colOff>
      <xdr:row>9</xdr:row>
      <xdr:rowOff>10886</xdr:rowOff>
    </xdr:to>
    <mc:AlternateContent xmlns:mc="http://schemas.openxmlformats.org/markup-compatibility/2006">
      <mc:Choice xmlns:a14="http://schemas.microsoft.com/office/drawing/2010/main" Requires="a14">
        <xdr:graphicFrame macro="">
          <xdr:nvGraphicFramePr>
            <xdr:cNvPr id="7" name="Roast Type Name">
              <a:extLst>
                <a:ext uri="{FF2B5EF4-FFF2-40B4-BE49-F238E27FC236}">
                  <a16:creationId xmlns:a16="http://schemas.microsoft.com/office/drawing/2014/main" id="{6A12F45A-DB62-4DE4-BB0D-81AA04A94E3A}"/>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0130516" y="698047"/>
              <a:ext cx="4261759" cy="8177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381000</xdr:colOff>
      <xdr:row>9</xdr:row>
      <xdr:rowOff>48987</xdr:rowOff>
    </xdr:from>
    <xdr:to>
      <xdr:col>26</xdr:col>
      <xdr:colOff>21771</xdr:colOff>
      <xdr:row>14</xdr:row>
      <xdr:rowOff>10886</xdr:rowOff>
    </xdr:to>
    <mc:AlternateContent xmlns:mc="http://schemas.openxmlformats.org/markup-compatibility/2006">
      <mc:Choice xmlns:a14="http://schemas.microsoft.com/office/drawing/2010/main" Requires="a14">
        <xdr:graphicFrame macro="">
          <xdr:nvGraphicFramePr>
            <xdr:cNvPr id="8" name="Loyalty Card">
              <a:extLst>
                <a:ext uri="{FF2B5EF4-FFF2-40B4-BE49-F238E27FC236}">
                  <a16:creationId xmlns:a16="http://schemas.microsoft.com/office/drawing/2014/main" id="{1B2F675E-E4F5-4DEA-B875-767CE9989F71}"/>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2334875" y="1553937"/>
              <a:ext cx="2079171" cy="8667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2177</xdr:colOff>
      <xdr:row>30</xdr:row>
      <xdr:rowOff>130628</xdr:rowOff>
    </xdr:from>
    <xdr:to>
      <xdr:col>26</xdr:col>
      <xdr:colOff>97971</xdr:colOff>
      <xdr:row>44</xdr:row>
      <xdr:rowOff>108858</xdr:rowOff>
    </xdr:to>
    <xdr:graphicFrame macro="">
      <xdr:nvGraphicFramePr>
        <xdr:cNvPr id="9" name="Chart 8">
          <a:extLst>
            <a:ext uri="{FF2B5EF4-FFF2-40B4-BE49-F238E27FC236}">
              <a16:creationId xmlns:a16="http://schemas.microsoft.com/office/drawing/2014/main" id="{85D1B2EA-92F6-46D5-9F0D-CC72D08DD3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3266</xdr:colOff>
      <xdr:row>14</xdr:row>
      <xdr:rowOff>43542</xdr:rowOff>
    </xdr:from>
    <xdr:to>
      <xdr:col>26</xdr:col>
      <xdr:colOff>76200</xdr:colOff>
      <xdr:row>30</xdr:row>
      <xdr:rowOff>108857</xdr:rowOff>
    </xdr:to>
    <xdr:graphicFrame macro="">
      <xdr:nvGraphicFramePr>
        <xdr:cNvPr id="10" name="Chart 9">
          <a:extLst>
            <a:ext uri="{FF2B5EF4-FFF2-40B4-BE49-F238E27FC236}">
              <a16:creationId xmlns:a16="http://schemas.microsoft.com/office/drawing/2014/main" id="{00D8893C-1B3C-46E0-BEA5-E9A9665317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24.771627083333" createdVersion="8" refreshedVersion="8" minRefreshableVersion="3" recordCount="1000" xr:uid="{879EA65C-A119-4B11-AAC8-86A6E6EEE8E5}">
  <cacheSource type="worksheet">
    <worksheetSource name="Orders_Table"/>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5278814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F16307-6A18-4F49-A2A8-EAEC2FC9DC9A}" name="TotalSales" cacheId="1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8">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37"/>
  </dataFields>
  <chartFormats count="8">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2"/>
          </reference>
        </references>
      </pivotArea>
    </chartFormat>
    <chartFormat chart="3" format="3" series="1">
      <pivotArea type="data" outline="0" fieldPosition="0">
        <references count="2">
          <reference field="4294967294" count="1" selected="0">
            <x v="0"/>
          </reference>
          <reference field="13" count="1" selected="0">
            <x v="3"/>
          </reference>
        </references>
      </pivotArea>
    </chartFormat>
    <chartFormat chart="7" format="8" series="1">
      <pivotArea type="data" outline="0" fieldPosition="0">
        <references count="2">
          <reference field="4294967294" count="1" selected="0">
            <x v="0"/>
          </reference>
          <reference field="13" count="1" selected="0">
            <x v="0"/>
          </reference>
        </references>
      </pivotArea>
    </chartFormat>
    <chartFormat chart="7" format="9" series="1">
      <pivotArea type="data" outline="0" fieldPosition="0">
        <references count="2">
          <reference field="4294967294" count="1" selected="0">
            <x v="0"/>
          </reference>
          <reference field="13" count="1" selected="0">
            <x v="1"/>
          </reference>
        </references>
      </pivotArea>
    </chartFormat>
    <chartFormat chart="7" format="10" series="1">
      <pivotArea type="data" outline="0" fieldPosition="0">
        <references count="2">
          <reference field="4294967294" count="1" selected="0">
            <x v="0"/>
          </reference>
          <reference field="13" count="1" selected="0">
            <x v="2"/>
          </reference>
        </references>
      </pivotArea>
    </chartFormat>
    <chartFormat chart="7"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167896-9698-4405-87AB-F3913C1D9747}" name="TotalSales" cacheId="1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7">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8"/>
  </dataFields>
  <chartFormats count="6">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7" count="1" selected="0">
            <x v="2"/>
          </reference>
        </references>
      </pivotArea>
    </chartFormat>
    <chartFormat chart="12" format="2">
      <pivotArea type="data" outline="0" fieldPosition="0">
        <references count="2">
          <reference field="4294967294" count="1" selected="0">
            <x v="0"/>
          </reference>
          <reference field="7" count="1" selected="0">
            <x v="0"/>
          </reference>
        </references>
      </pivotArea>
    </chartFormat>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7" count="1" selected="0">
            <x v="0"/>
          </reference>
        </references>
      </pivotArea>
    </chartFormat>
    <chartFormat chart="16" format="8">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0EB242-C5DF-45EC-8119-D5083C056180}" name="TotalSales" cacheId="1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8">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8"/>
  </dataFields>
  <chartFormats count="5">
    <chartFormat chart="6" format="8"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 chart="17" format="7"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C731C643-348F-4261-8A83-661EE511D059}" sourceName="Size">
  <pivotTables>
    <pivotTable tabId="18" name="TotalSales"/>
    <pivotTable tabId="19" name="TotalSales"/>
    <pivotTable tabId="20" name="TotalSales"/>
  </pivotTables>
  <data>
    <tabular pivotCacheId="52788149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A160823-56D9-47EE-9851-827B705CF19D}" sourceName="Roast Type Name">
  <pivotTables>
    <pivotTable tabId="18" name="TotalSales"/>
    <pivotTable tabId="19" name="TotalSales"/>
    <pivotTable tabId="20" name="TotalSales"/>
  </pivotTables>
  <data>
    <tabular pivotCacheId="52788149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2D350E7D-664A-4581-B370-463097B6F774}" sourceName="Loyalty Card">
  <pivotTables>
    <pivotTable tabId="18" name="TotalSales"/>
    <pivotTable tabId="19" name="TotalSales"/>
    <pivotTable tabId="20" name="TotalSales"/>
  </pivotTables>
  <data>
    <tabular pivotCacheId="52788149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A4A28CC8-9E53-4F09-97DF-D91D91D17E7F}" cache="Slicer_Size" caption="Size" columnCount="2" style="Pink slicer" rowHeight="234950"/>
  <slicer name="Roast Type Name" xr10:uid="{D0D55D29-909C-4404-839A-382C4CB31B36}" cache="Slicer_Roast_Type_Name" caption="Roast Type Name" columnCount="3" style="Pink slicer" rowHeight="234950"/>
  <slicer name="Loyalty Card" xr10:uid="{B5E7491A-4C59-41CA-B11E-433AF98E1DFF}" cache="Slicer_Loyalty_Card" caption="Loyalty Card" style="Pink 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C639EA-46ED-46B1-8406-D5A5ADF2EC94}" name="Orders_Table" displayName="Orders_Table" ref="A1:P1001" totalsRowShown="0" headerRowDxfId="13">
  <autoFilter ref="A1:P1001" xr:uid="{2FC639EA-46ED-46B1-8406-D5A5ADF2EC94}"/>
  <tableColumns count="16">
    <tableColumn id="1" xr3:uid="{3CBE17BD-F715-4330-9527-2AA68579AB5A}" name="Order ID" dataDxfId="12"/>
    <tableColumn id="2" xr3:uid="{222B9957-0815-4582-AD90-B07B46D5338B}" name="Order Date" dataDxfId="11"/>
    <tableColumn id="3" xr3:uid="{7E8AD989-3669-469B-99A2-FB7F74636F6C}" name="Customer ID" dataDxfId="10"/>
    <tableColumn id="4" xr3:uid="{AA143F62-6BE1-4A95-827B-B336686E0C9A}" name="Product ID"/>
    <tableColumn id="5" xr3:uid="{7E8E66F6-A520-42D0-A36C-0078DE155FFD}" name="Quantity" dataDxfId="9"/>
    <tableColumn id="6" xr3:uid="{366EE389-4B61-4C5A-8E49-6D581B61BECF}" name="Customer Name" dataDxfId="8">
      <calculatedColumnFormula>_xlfn.XLOOKUP(C2,customers!$A$1:$A$1001,customers!$B$1:$B$1001,0)</calculatedColumnFormula>
    </tableColumn>
    <tableColumn id="7" xr3:uid="{4E743263-96E8-409D-9A4F-E9CD44AF3528}" name="Email" dataDxfId="7">
      <calculatedColumnFormula>IF(_xlfn.XLOOKUP(C2,customers!$A$1:$A$1001,customers!$C$1:$C$1001,0)=0,"",(_xlfn.XLOOKUP(C2,customers!$A$1:$A$1001,customers!$C$1:$C$1001,0)))</calculatedColumnFormula>
    </tableColumn>
    <tableColumn id="8" xr3:uid="{B8ADF375-1063-469D-B2C7-D02FE83E3192}" name="Country" dataDxfId="6">
      <calculatedColumnFormula>_xlfn.XLOOKUP(C2,customers!$A$1:$A$1001,customers!$G$1:$G$1001,0)</calculatedColumnFormula>
    </tableColumn>
    <tableColumn id="9" xr3:uid="{1DA8FF01-0744-422D-AC99-9D5244703060}" name="Coffee Type">
      <calculatedColumnFormula>INDEX(products!$A$1:$G$49,MATCH(orders!$D2,products!$A$1:$A$49,0),MATCH(orders!I$1,products!$A$1:$G$1,0))</calculatedColumnFormula>
    </tableColumn>
    <tableColumn id="10" xr3:uid="{72D1EC4B-4C2A-4CC0-8796-755EA54C2E6E}" name="Roast Type">
      <calculatedColumnFormula>INDEX(products!$A$1:$G$49,MATCH(orders!$D2,products!$A$1:$A$49,0),MATCH(orders!J$1,products!$A$1:$G$1,0))</calculatedColumnFormula>
    </tableColumn>
    <tableColumn id="11" xr3:uid="{FA690A04-DA57-49C2-996D-4B2BD28E7169}" name="Size" dataDxfId="5">
      <calculatedColumnFormula>INDEX(products!$A$1:$G$49,MATCH(orders!$D2,products!$A$1:$A$49,0),MATCH(orders!K$1,products!$A$1:$G$1,0))</calculatedColumnFormula>
    </tableColumn>
    <tableColumn id="12" xr3:uid="{AF20C303-8944-4829-9AF6-BD9CC879A2AA}" name="Unit Price" dataDxfId="4">
      <calculatedColumnFormula>INDEX(products!$A$1:$G$49,MATCH(orders!$D2,products!$A$1:$A$49,0),MATCH(orders!L$1,products!$A$1:$G$1,0))</calculatedColumnFormula>
    </tableColumn>
    <tableColumn id="13" xr3:uid="{06BFE0E3-ADFF-4712-AB97-F49E593FA0AE}" name="Sales" dataDxfId="3">
      <calculatedColumnFormula>L2*E2</calculatedColumnFormula>
    </tableColumn>
    <tableColumn id="14" xr3:uid="{FA5BF331-203B-4703-A320-F17E63EA024D}" name="Coffee Type Name">
      <calculatedColumnFormula>IF(I2="Rob", "Robusta", IF(I2 = "Exc","Excelsa", IF(I2="Ara","Arabica", IF(I2="Lib", "Liberica",""))))</calculatedColumnFormula>
    </tableColumn>
    <tableColumn id="15" xr3:uid="{8EF84870-54B4-41AB-8C5C-7BF32E51BC31}" name="Roast Type Name">
      <calculatedColumnFormula>IF(J2="M","Medium",IF(J2="L","Light",IF(J2="D","Dark","")))</calculatedColumnFormula>
    </tableColumn>
    <tableColumn id="16" xr3:uid="{F0FC8713-1934-4DA4-9110-67D738CBAD41}" name="Loyalty Card" dataDxfId="2">
      <calculatedColumnFormula>_xlfn.XLOOKUP(Orders_Table[[#This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6C69E1B8-457D-4703-A259-C2326FF56693}" sourceName="Order Date">
  <pivotTables>
    <pivotTable tabId="18" name="TotalSales"/>
    <pivotTable tabId="19" name="TotalSales"/>
    <pivotTable tabId="20" name="TotalSales"/>
  </pivotTables>
  <state minimalRefreshVersion="6" lastRefreshVersion="6" pivotCacheId="52788149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C028906A-BC91-42EB-A2A0-90DA876FB933}" cache="NativeTimeline_Order_Date" caption="Order Date" level="2" selectionLevel="2" scrollPosition="2021-05-01T00:00:00" style="Pink2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218FF-23FF-48A8-A10B-3461A3492E76}">
  <dimension ref="A1"/>
  <sheetViews>
    <sheetView showGridLines="0" tabSelected="1" zoomScale="80" zoomScaleNormal="80" workbookViewId="0">
      <selection activeCell="AB8" sqref="AB8"/>
    </sheetView>
  </sheetViews>
  <sheetFormatPr defaultRowHeight="14.4" x14ac:dyDescent="0.3"/>
  <cols>
    <col min="1" max="1" width="1.77734375" customWidth="1"/>
    <col min="18" max="19" width="1.77734375" customWidth="1"/>
  </cols>
  <sheetData>
    <row r="1"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CF40C-FD3C-44D2-97B6-DC66E5A431FC}">
  <dimension ref="A3:F48"/>
  <sheetViews>
    <sheetView zoomScale="70" zoomScaleNormal="70" workbookViewId="0">
      <selection activeCell="B20" sqref="B20"/>
    </sheetView>
  </sheetViews>
  <sheetFormatPr defaultRowHeight="14.4" x14ac:dyDescent="0.3"/>
  <cols>
    <col min="1" max="1" width="12.5546875" bestFit="1" customWidth="1"/>
    <col min="2" max="2" width="22.77734375" bestFit="1" customWidth="1"/>
    <col min="3" max="3" width="20.44140625" bestFit="1" customWidth="1"/>
    <col min="4" max="4" width="7.109375" bestFit="1" customWidth="1"/>
    <col min="5" max="5" width="7.77734375" bestFit="1" customWidth="1"/>
    <col min="6" max="6" width="8" bestFit="1" customWidth="1"/>
  </cols>
  <sheetData>
    <row r="3" spans="1:6" x14ac:dyDescent="0.3">
      <c r="A3" s="8" t="s">
        <v>6220</v>
      </c>
      <c r="C3" s="8" t="s">
        <v>6196</v>
      </c>
    </row>
    <row r="4" spans="1:6" x14ac:dyDescent="0.3">
      <c r="A4" s="8" t="s">
        <v>6214</v>
      </c>
      <c r="B4" s="8" t="s">
        <v>6215</v>
      </c>
      <c r="C4" t="s">
        <v>6216</v>
      </c>
      <c r="D4" t="s">
        <v>6217</v>
      </c>
      <c r="E4" t="s">
        <v>6218</v>
      </c>
      <c r="F4" t="s">
        <v>6219</v>
      </c>
    </row>
    <row r="5" spans="1:6" x14ac:dyDescent="0.3">
      <c r="A5" t="s">
        <v>6198</v>
      </c>
      <c r="B5" t="s">
        <v>6202</v>
      </c>
      <c r="C5" s="9">
        <v>186.85499999999999</v>
      </c>
      <c r="D5" s="9">
        <v>305.97000000000003</v>
      </c>
      <c r="E5" s="9">
        <v>213.15999999999997</v>
      </c>
      <c r="F5" s="9">
        <v>123</v>
      </c>
    </row>
    <row r="6" spans="1:6" x14ac:dyDescent="0.3">
      <c r="B6" t="s">
        <v>6203</v>
      </c>
      <c r="C6" s="9">
        <v>251.96499999999997</v>
      </c>
      <c r="D6" s="9">
        <v>129.46</v>
      </c>
      <c r="E6" s="9">
        <v>434.03999999999996</v>
      </c>
      <c r="F6" s="9">
        <v>171.93999999999997</v>
      </c>
    </row>
    <row r="7" spans="1:6" x14ac:dyDescent="0.3">
      <c r="B7" t="s">
        <v>6204</v>
      </c>
      <c r="C7" s="9">
        <v>224.94499999999999</v>
      </c>
      <c r="D7" s="9">
        <v>349.12</v>
      </c>
      <c r="E7" s="9">
        <v>321.04000000000002</v>
      </c>
      <c r="F7" s="9">
        <v>126.035</v>
      </c>
    </row>
    <row r="8" spans="1:6" x14ac:dyDescent="0.3">
      <c r="B8" t="s">
        <v>6205</v>
      </c>
      <c r="C8" s="9">
        <v>307.12</v>
      </c>
      <c r="D8" s="9">
        <v>681.07499999999993</v>
      </c>
      <c r="E8" s="9">
        <v>533.70499999999993</v>
      </c>
      <c r="F8" s="9">
        <v>158.85</v>
      </c>
    </row>
    <row r="9" spans="1:6" x14ac:dyDescent="0.3">
      <c r="B9" t="s">
        <v>6206</v>
      </c>
      <c r="C9" s="9">
        <v>53.664999999999992</v>
      </c>
      <c r="D9" s="9">
        <v>83.025000000000006</v>
      </c>
      <c r="E9" s="9">
        <v>193.83499999999998</v>
      </c>
      <c r="F9" s="9">
        <v>68.039999999999992</v>
      </c>
    </row>
    <row r="10" spans="1:6" x14ac:dyDescent="0.3">
      <c r="B10" t="s">
        <v>6207</v>
      </c>
      <c r="C10" s="9">
        <v>163.01999999999998</v>
      </c>
      <c r="D10" s="9">
        <v>678.3599999999999</v>
      </c>
      <c r="E10" s="9">
        <v>171.04500000000002</v>
      </c>
      <c r="F10" s="9">
        <v>372.255</v>
      </c>
    </row>
    <row r="11" spans="1:6" x14ac:dyDescent="0.3">
      <c r="B11" t="s">
        <v>6208</v>
      </c>
      <c r="C11" s="9">
        <v>345.02</v>
      </c>
      <c r="D11" s="9">
        <v>273.86999999999995</v>
      </c>
      <c r="E11" s="9">
        <v>184.12999999999997</v>
      </c>
      <c r="F11" s="9">
        <v>201.11499999999998</v>
      </c>
    </row>
    <row r="12" spans="1:6" x14ac:dyDescent="0.3">
      <c r="B12" t="s">
        <v>6209</v>
      </c>
      <c r="C12" s="9">
        <v>334.89</v>
      </c>
      <c r="D12" s="9">
        <v>70.95</v>
      </c>
      <c r="E12" s="9">
        <v>134.23000000000002</v>
      </c>
      <c r="F12" s="9">
        <v>166.27499999999998</v>
      </c>
    </row>
    <row r="13" spans="1:6" x14ac:dyDescent="0.3">
      <c r="B13" t="s">
        <v>6210</v>
      </c>
      <c r="C13" s="9">
        <v>178.70999999999998</v>
      </c>
      <c r="D13" s="9">
        <v>166.1</v>
      </c>
      <c r="E13" s="9">
        <v>439.30999999999995</v>
      </c>
      <c r="F13" s="9">
        <v>492.9</v>
      </c>
    </row>
    <row r="14" spans="1:6" x14ac:dyDescent="0.3">
      <c r="B14" t="s">
        <v>6211</v>
      </c>
      <c r="C14" s="9">
        <v>301.98500000000001</v>
      </c>
      <c r="D14" s="9">
        <v>153.76499999999999</v>
      </c>
      <c r="E14" s="9">
        <v>215.55499999999998</v>
      </c>
      <c r="F14" s="9">
        <v>213.66499999999999</v>
      </c>
    </row>
    <row r="15" spans="1:6" x14ac:dyDescent="0.3">
      <c r="B15" t="s">
        <v>6212</v>
      </c>
      <c r="C15" s="9">
        <v>312.83499999999998</v>
      </c>
      <c r="D15" s="9">
        <v>63.249999999999993</v>
      </c>
      <c r="E15" s="9">
        <v>350.89500000000004</v>
      </c>
      <c r="F15" s="9">
        <v>96.405000000000001</v>
      </c>
    </row>
    <row r="16" spans="1:6" x14ac:dyDescent="0.3">
      <c r="B16" t="s">
        <v>6213</v>
      </c>
      <c r="C16" s="9">
        <v>265.62</v>
      </c>
      <c r="D16" s="9">
        <v>526.51499999999987</v>
      </c>
      <c r="E16" s="9">
        <v>187.06</v>
      </c>
      <c r="F16" s="9">
        <v>210.58999999999997</v>
      </c>
    </row>
    <row r="17" spans="1:6" x14ac:dyDescent="0.3">
      <c r="A17" t="s">
        <v>6199</v>
      </c>
      <c r="B17" t="s">
        <v>6202</v>
      </c>
      <c r="C17" s="9">
        <v>47.25</v>
      </c>
      <c r="D17" s="9">
        <v>65.805000000000007</v>
      </c>
      <c r="E17" s="9">
        <v>274.67500000000001</v>
      </c>
      <c r="F17" s="9">
        <v>179.22</v>
      </c>
    </row>
    <row r="18" spans="1:6" x14ac:dyDescent="0.3">
      <c r="B18" t="s">
        <v>6203</v>
      </c>
      <c r="C18" s="9">
        <v>745.44999999999993</v>
      </c>
      <c r="D18" s="9">
        <v>428.88499999999999</v>
      </c>
      <c r="E18" s="9">
        <v>194.17499999999998</v>
      </c>
      <c r="F18" s="9">
        <v>429.82999999999993</v>
      </c>
    </row>
    <row r="19" spans="1:6" x14ac:dyDescent="0.3">
      <c r="B19" t="s">
        <v>6204</v>
      </c>
      <c r="C19" s="9">
        <v>130.47</v>
      </c>
      <c r="D19" s="9">
        <v>271.48500000000001</v>
      </c>
      <c r="E19" s="9">
        <v>281.20499999999998</v>
      </c>
      <c r="F19" s="9">
        <v>231.63000000000002</v>
      </c>
    </row>
    <row r="20" spans="1:6" x14ac:dyDescent="0.3">
      <c r="B20" t="s">
        <v>6205</v>
      </c>
      <c r="C20" s="9">
        <v>27</v>
      </c>
      <c r="D20" s="9">
        <v>347.26</v>
      </c>
      <c r="E20" s="9">
        <v>147.51</v>
      </c>
      <c r="F20" s="9">
        <v>240.04</v>
      </c>
    </row>
    <row r="21" spans="1:6" x14ac:dyDescent="0.3">
      <c r="B21" t="s">
        <v>6206</v>
      </c>
      <c r="C21" s="9">
        <v>255.11499999999995</v>
      </c>
      <c r="D21" s="9">
        <v>541.73</v>
      </c>
      <c r="E21" s="9">
        <v>83.43</v>
      </c>
      <c r="F21" s="9">
        <v>59.079999999999991</v>
      </c>
    </row>
    <row r="22" spans="1:6" x14ac:dyDescent="0.3">
      <c r="B22" t="s">
        <v>6207</v>
      </c>
      <c r="C22" s="9">
        <v>584.78999999999985</v>
      </c>
      <c r="D22" s="9">
        <v>357.42999999999995</v>
      </c>
      <c r="E22" s="9">
        <v>355.34</v>
      </c>
      <c r="F22" s="9">
        <v>140.88</v>
      </c>
    </row>
    <row r="23" spans="1:6" x14ac:dyDescent="0.3">
      <c r="B23" t="s">
        <v>6208</v>
      </c>
      <c r="C23" s="9">
        <v>430.62</v>
      </c>
      <c r="D23" s="9">
        <v>227.42500000000001</v>
      </c>
      <c r="E23" s="9">
        <v>236.315</v>
      </c>
      <c r="F23" s="9">
        <v>414.58499999999992</v>
      </c>
    </row>
    <row r="24" spans="1:6" x14ac:dyDescent="0.3">
      <c r="B24" t="s">
        <v>6209</v>
      </c>
      <c r="C24" s="9">
        <v>22.5</v>
      </c>
      <c r="D24" s="9">
        <v>77.72</v>
      </c>
      <c r="E24" s="9">
        <v>60.5</v>
      </c>
      <c r="F24" s="9">
        <v>139.67999999999998</v>
      </c>
    </row>
    <row r="25" spans="1:6" x14ac:dyDescent="0.3">
      <c r="B25" t="s">
        <v>6210</v>
      </c>
      <c r="C25" s="9">
        <v>126.14999999999999</v>
      </c>
      <c r="D25" s="9">
        <v>195.11</v>
      </c>
      <c r="E25" s="9">
        <v>89.13</v>
      </c>
      <c r="F25" s="9">
        <v>302.65999999999997</v>
      </c>
    </row>
    <row r="26" spans="1:6" x14ac:dyDescent="0.3">
      <c r="B26" t="s">
        <v>6211</v>
      </c>
      <c r="C26" s="9">
        <v>376.03</v>
      </c>
      <c r="D26" s="9">
        <v>523.24</v>
      </c>
      <c r="E26" s="9">
        <v>440.96499999999997</v>
      </c>
      <c r="F26" s="9">
        <v>174.46999999999997</v>
      </c>
    </row>
    <row r="27" spans="1:6" x14ac:dyDescent="0.3">
      <c r="B27" t="s">
        <v>6212</v>
      </c>
      <c r="C27" s="9">
        <v>515.17999999999995</v>
      </c>
      <c r="D27" s="9">
        <v>142.56</v>
      </c>
      <c r="E27" s="9">
        <v>347.03999999999996</v>
      </c>
      <c r="F27" s="9">
        <v>104.08499999999999</v>
      </c>
    </row>
    <row r="28" spans="1:6" x14ac:dyDescent="0.3">
      <c r="B28" t="s">
        <v>6213</v>
      </c>
      <c r="C28" s="9">
        <v>95.859999999999985</v>
      </c>
      <c r="D28" s="9">
        <v>484.76</v>
      </c>
      <c r="E28" s="9">
        <v>94.17</v>
      </c>
      <c r="F28" s="9">
        <v>77.10499999999999</v>
      </c>
    </row>
    <row r="29" spans="1:6" x14ac:dyDescent="0.3">
      <c r="A29" t="s">
        <v>6200</v>
      </c>
      <c r="B29" t="s">
        <v>6202</v>
      </c>
      <c r="C29" s="9">
        <v>258.34500000000003</v>
      </c>
      <c r="D29" s="9">
        <v>139.625</v>
      </c>
      <c r="E29" s="9">
        <v>279.52000000000004</v>
      </c>
      <c r="F29" s="9">
        <v>160.19499999999999</v>
      </c>
    </row>
    <row r="30" spans="1:6" x14ac:dyDescent="0.3">
      <c r="B30" t="s">
        <v>6203</v>
      </c>
      <c r="C30" s="9">
        <v>342.2</v>
      </c>
      <c r="D30" s="9">
        <v>284.24999999999994</v>
      </c>
      <c r="E30" s="9">
        <v>251.83</v>
      </c>
      <c r="F30" s="9">
        <v>80.550000000000011</v>
      </c>
    </row>
    <row r="31" spans="1:6" x14ac:dyDescent="0.3">
      <c r="B31" t="s">
        <v>6204</v>
      </c>
      <c r="C31" s="9">
        <v>418.30499999999989</v>
      </c>
      <c r="D31" s="9">
        <v>468.125</v>
      </c>
      <c r="E31" s="9">
        <v>405.05500000000006</v>
      </c>
      <c r="F31" s="9">
        <v>253.15499999999997</v>
      </c>
    </row>
    <row r="32" spans="1:6" x14ac:dyDescent="0.3">
      <c r="B32" t="s">
        <v>6205</v>
      </c>
      <c r="C32" s="9">
        <v>102.32999999999998</v>
      </c>
      <c r="D32" s="9">
        <v>242.14000000000001</v>
      </c>
      <c r="E32" s="9">
        <v>554.875</v>
      </c>
      <c r="F32" s="9">
        <v>106.23999999999998</v>
      </c>
    </row>
    <row r="33" spans="1:6" x14ac:dyDescent="0.3">
      <c r="B33" t="s">
        <v>6206</v>
      </c>
      <c r="C33" s="9">
        <v>234.71999999999997</v>
      </c>
      <c r="D33" s="9">
        <v>133.08000000000001</v>
      </c>
      <c r="E33" s="9">
        <v>267.2</v>
      </c>
      <c r="F33" s="9">
        <v>272.68999999999994</v>
      </c>
    </row>
    <row r="34" spans="1:6" x14ac:dyDescent="0.3">
      <c r="B34" t="s">
        <v>6207</v>
      </c>
      <c r="C34" s="9">
        <v>430.39</v>
      </c>
      <c r="D34" s="9">
        <v>136.20500000000001</v>
      </c>
      <c r="E34" s="9">
        <v>209.6</v>
      </c>
      <c r="F34" s="9">
        <v>88.334999999999994</v>
      </c>
    </row>
    <row r="35" spans="1:6" x14ac:dyDescent="0.3">
      <c r="B35" t="s">
        <v>6208</v>
      </c>
      <c r="C35" s="9">
        <v>109.005</v>
      </c>
      <c r="D35" s="9">
        <v>393.57499999999999</v>
      </c>
      <c r="E35" s="9">
        <v>61.034999999999997</v>
      </c>
      <c r="F35" s="9">
        <v>199.48999999999998</v>
      </c>
    </row>
    <row r="36" spans="1:6" x14ac:dyDescent="0.3">
      <c r="B36" t="s">
        <v>6209</v>
      </c>
      <c r="C36" s="9">
        <v>287.52499999999998</v>
      </c>
      <c r="D36" s="9">
        <v>288.67</v>
      </c>
      <c r="E36" s="9">
        <v>125.58</v>
      </c>
      <c r="F36" s="9">
        <v>374.13499999999999</v>
      </c>
    </row>
    <row r="37" spans="1:6" x14ac:dyDescent="0.3">
      <c r="B37" t="s">
        <v>6210</v>
      </c>
      <c r="C37" s="9">
        <v>840.92999999999984</v>
      </c>
      <c r="D37" s="9">
        <v>409.875</v>
      </c>
      <c r="E37" s="9">
        <v>171.32999999999998</v>
      </c>
      <c r="F37" s="9">
        <v>221.43999999999997</v>
      </c>
    </row>
    <row r="38" spans="1:6" x14ac:dyDescent="0.3">
      <c r="B38" t="s">
        <v>6211</v>
      </c>
      <c r="C38" s="9">
        <v>299.07</v>
      </c>
      <c r="D38" s="9">
        <v>260.32499999999999</v>
      </c>
      <c r="E38" s="9">
        <v>584.64</v>
      </c>
      <c r="F38" s="9">
        <v>256.36500000000001</v>
      </c>
    </row>
    <row r="39" spans="1:6" x14ac:dyDescent="0.3">
      <c r="B39" t="s">
        <v>6212</v>
      </c>
      <c r="C39" s="9">
        <v>323.32499999999999</v>
      </c>
      <c r="D39" s="9">
        <v>565.57000000000005</v>
      </c>
      <c r="E39" s="9">
        <v>537.80999999999995</v>
      </c>
      <c r="F39" s="9">
        <v>189.47499999999999</v>
      </c>
    </row>
    <row r="40" spans="1:6" x14ac:dyDescent="0.3">
      <c r="B40" t="s">
        <v>6213</v>
      </c>
      <c r="C40" s="9">
        <v>399.48499999999996</v>
      </c>
      <c r="D40" s="9">
        <v>148.19999999999999</v>
      </c>
      <c r="E40" s="9">
        <v>388.21999999999997</v>
      </c>
      <c r="F40" s="9">
        <v>212.07499999999999</v>
      </c>
    </row>
    <row r="41" spans="1:6" x14ac:dyDescent="0.3">
      <c r="A41" t="s">
        <v>6201</v>
      </c>
      <c r="B41" t="s">
        <v>6202</v>
      </c>
      <c r="C41" s="9">
        <v>112.69499999999999</v>
      </c>
      <c r="D41" s="9">
        <v>166.32</v>
      </c>
      <c r="E41" s="9">
        <v>843.71499999999992</v>
      </c>
      <c r="F41" s="9">
        <v>146.685</v>
      </c>
    </row>
    <row r="42" spans="1:6" x14ac:dyDescent="0.3">
      <c r="B42" t="s">
        <v>6203</v>
      </c>
      <c r="C42" s="9">
        <v>114.87999999999998</v>
      </c>
      <c r="D42" s="9">
        <v>133.815</v>
      </c>
      <c r="E42" s="9">
        <v>91.175000000000011</v>
      </c>
      <c r="F42" s="9">
        <v>53.759999999999991</v>
      </c>
    </row>
    <row r="43" spans="1:6" x14ac:dyDescent="0.3">
      <c r="B43" t="s">
        <v>6204</v>
      </c>
      <c r="C43" s="9">
        <v>277.76</v>
      </c>
      <c r="D43" s="9">
        <v>175.41</v>
      </c>
      <c r="E43" s="9">
        <v>462.50999999999993</v>
      </c>
      <c r="F43" s="9">
        <v>399.52499999999998</v>
      </c>
    </row>
    <row r="44" spans="1:6" x14ac:dyDescent="0.3">
      <c r="B44" t="s">
        <v>6205</v>
      </c>
      <c r="C44" s="9">
        <v>197.89499999999998</v>
      </c>
      <c r="D44" s="9">
        <v>289.755</v>
      </c>
      <c r="E44" s="9">
        <v>88.545000000000002</v>
      </c>
      <c r="F44" s="9">
        <v>200.25499999999997</v>
      </c>
    </row>
    <row r="45" spans="1:6" x14ac:dyDescent="0.3">
      <c r="B45" t="s">
        <v>6206</v>
      </c>
      <c r="C45" s="9">
        <v>193.11499999999998</v>
      </c>
      <c r="D45" s="9">
        <v>212.49499999999998</v>
      </c>
      <c r="E45" s="9">
        <v>292.29000000000002</v>
      </c>
      <c r="F45" s="9">
        <v>304.46999999999997</v>
      </c>
    </row>
    <row r="46" spans="1:6" x14ac:dyDescent="0.3">
      <c r="B46" t="s">
        <v>6207</v>
      </c>
      <c r="C46" s="9">
        <v>179.79</v>
      </c>
      <c r="D46" s="9">
        <v>426.2</v>
      </c>
      <c r="E46" s="9">
        <v>170.08999999999997</v>
      </c>
      <c r="F46" s="9">
        <v>379.31</v>
      </c>
    </row>
    <row r="47" spans="1:6" x14ac:dyDescent="0.3">
      <c r="B47" t="s">
        <v>6208</v>
      </c>
      <c r="C47" s="9">
        <v>247.28999999999996</v>
      </c>
      <c r="D47" s="9">
        <v>246.685</v>
      </c>
      <c r="E47" s="9">
        <v>271.05499999999995</v>
      </c>
      <c r="F47" s="9">
        <v>141.69999999999999</v>
      </c>
    </row>
    <row r="48" spans="1:6" x14ac:dyDescent="0.3">
      <c r="B48" t="s">
        <v>6209</v>
      </c>
      <c r="C48" s="9">
        <v>116.39499999999998</v>
      </c>
      <c r="D48" s="9">
        <v>41.25</v>
      </c>
      <c r="E48" s="9">
        <v>15.54</v>
      </c>
      <c r="F48" s="9">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3FE8D-E79A-42D6-880B-FCDB3FC909AF}">
  <dimension ref="A3:B6"/>
  <sheetViews>
    <sheetView workbookViewId="0">
      <selection activeCell="B5" sqref="B5"/>
    </sheetView>
  </sheetViews>
  <sheetFormatPr defaultRowHeight="14.4" x14ac:dyDescent="0.3"/>
  <cols>
    <col min="1" max="1" width="14" bestFit="1" customWidth="1"/>
    <col min="2" max="2" width="11.6640625" bestFit="1" customWidth="1"/>
    <col min="3" max="3" width="7" bestFit="1" customWidth="1"/>
    <col min="4" max="4" width="7.44140625" bestFit="1" customWidth="1"/>
    <col min="5" max="6" width="7.88671875" bestFit="1" customWidth="1"/>
  </cols>
  <sheetData>
    <row r="3" spans="1:2" x14ac:dyDescent="0.3">
      <c r="A3" s="8" t="s">
        <v>7</v>
      </c>
      <c r="B3" t="s">
        <v>6220</v>
      </c>
    </row>
    <row r="4" spans="1:2" x14ac:dyDescent="0.3">
      <c r="A4" t="s">
        <v>28</v>
      </c>
      <c r="B4" s="10">
        <v>2798.5050000000001</v>
      </c>
    </row>
    <row r="5" spans="1:2" x14ac:dyDescent="0.3">
      <c r="A5" t="s">
        <v>318</v>
      </c>
      <c r="B5" s="10">
        <v>6696.8649999999989</v>
      </c>
    </row>
    <row r="6" spans="1:2" x14ac:dyDescent="0.3">
      <c r="A6" t="s">
        <v>19</v>
      </c>
      <c r="B6" s="10">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111A0-9599-422D-9B0B-42F956A23AA3}">
  <dimension ref="A3:B8"/>
  <sheetViews>
    <sheetView workbookViewId="0">
      <selection activeCell="P11" sqref="P11"/>
    </sheetView>
  </sheetViews>
  <sheetFormatPr defaultRowHeight="14.4" x14ac:dyDescent="0.3"/>
  <cols>
    <col min="1" max="1" width="16.88671875" bestFit="1" customWidth="1"/>
    <col min="2" max="2" width="11.6640625" bestFit="1" customWidth="1"/>
    <col min="3" max="3" width="7" bestFit="1" customWidth="1"/>
    <col min="4" max="4" width="7.44140625" bestFit="1" customWidth="1"/>
    <col min="5" max="6" width="7.88671875" bestFit="1" customWidth="1"/>
  </cols>
  <sheetData>
    <row r="3" spans="1:2" x14ac:dyDescent="0.3">
      <c r="A3" s="8" t="s">
        <v>4</v>
      </c>
      <c r="B3" t="s">
        <v>6220</v>
      </c>
    </row>
    <row r="4" spans="1:2" x14ac:dyDescent="0.3">
      <c r="A4" t="s">
        <v>3753</v>
      </c>
      <c r="B4" s="10">
        <v>278.01</v>
      </c>
    </row>
    <row r="5" spans="1:2" x14ac:dyDescent="0.3">
      <c r="A5" t="s">
        <v>1598</v>
      </c>
      <c r="B5" s="10">
        <v>281.67499999999995</v>
      </c>
    </row>
    <row r="6" spans="1:2" x14ac:dyDescent="0.3">
      <c r="A6" t="s">
        <v>2587</v>
      </c>
      <c r="B6" s="10">
        <v>289.11</v>
      </c>
    </row>
    <row r="7" spans="1:2" x14ac:dyDescent="0.3">
      <c r="A7" t="s">
        <v>5765</v>
      </c>
      <c r="B7" s="10">
        <v>307.04499999999996</v>
      </c>
    </row>
    <row r="8" spans="1:2" x14ac:dyDescent="0.3">
      <c r="A8" t="s">
        <v>5114</v>
      </c>
      <c r="B8" s="10">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A2" zoomScale="115" zoomScaleNormal="115" workbookViewId="0">
      <selection activeCell="P2" sqref="P2"/>
    </sheetView>
  </sheetViews>
  <sheetFormatPr defaultRowHeight="14.4" x14ac:dyDescent="0.3"/>
  <cols>
    <col min="1" max="1" width="16.5546875" bestFit="1" customWidth="1"/>
    <col min="2" max="2" width="11.88671875" bestFit="1" customWidth="1"/>
    <col min="3" max="3" width="17.44140625" bestFit="1" customWidth="1"/>
    <col min="4" max="4" width="11.33203125" customWidth="1"/>
    <col min="5" max="5" width="9.77734375" customWidth="1"/>
    <col min="6" max="6" width="17.44140625" customWidth="1"/>
    <col min="7" max="7" width="25.77734375" customWidth="1"/>
    <col min="8" max="8" width="11.5546875" customWidth="1"/>
    <col min="9" max="9" width="12.6640625" customWidth="1"/>
    <col min="10" max="10" width="11.6640625" customWidth="1"/>
    <col min="11" max="11" width="5.77734375" customWidth="1"/>
    <col min="12" max="12" width="12.21875" customWidth="1"/>
    <col min="13" max="13" width="10.6640625" customWidth="1"/>
    <col min="14" max="14" width="18.109375" customWidth="1"/>
    <col min="15" max="15" width="17.21875" customWidth="1"/>
    <col min="16" max="16" width="13.77734375" customWidth="1"/>
  </cols>
  <sheetData>
    <row r="1" spans="1:16" s="7" customFormat="1" x14ac:dyDescent="0.3">
      <c r="A1" s="6" t="s">
        <v>0</v>
      </c>
      <c r="B1" s="6" t="s">
        <v>1</v>
      </c>
      <c r="C1" s="6" t="s">
        <v>3</v>
      </c>
      <c r="D1" s="6" t="s">
        <v>11</v>
      </c>
      <c r="E1" s="6" t="s">
        <v>14</v>
      </c>
      <c r="F1" s="6" t="s">
        <v>4</v>
      </c>
      <c r="G1" s="6" t="s">
        <v>2</v>
      </c>
      <c r="H1" s="6" t="s">
        <v>7</v>
      </c>
      <c r="I1" s="6" t="s">
        <v>9</v>
      </c>
      <c r="J1" s="6" t="s">
        <v>10</v>
      </c>
      <c r="K1" s="6" t="s">
        <v>12</v>
      </c>
      <c r="L1" s="6" t="s">
        <v>13</v>
      </c>
      <c r="M1" s="6" t="s">
        <v>15</v>
      </c>
      <c r="N1" s="6" t="s">
        <v>6196</v>
      </c>
      <c r="O1" s="6" t="s">
        <v>6197</v>
      </c>
      <c r="P1" s="6" t="s">
        <v>6189</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 "Robusta", IF(I2 = "Exc","Excelsa", IF(I2="Ara","Arabica", IF(I2="Lib", "Liberica",""))))</f>
        <v>Robusta</v>
      </c>
      <c r="O2" t="str">
        <f>IF(J2="M","Medium",IF(J2="L","Light",IF(J2="D","Dark","")))</f>
        <v>Medium</v>
      </c>
      <c r="P2" t="str">
        <f>_xlfn.XLOOKUP(Orders_Table[[#This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 "Robusta", IF(I3 = "Exc","Excelsa", IF(I3="Ara","Arabica", IF(I3="Lib", "Liberica",""))))</f>
        <v>Excelsa</v>
      </c>
      <c r="O3" t="str">
        <f t="shared" ref="O3:O66" si="2">IF(J3="M","Medium",IF(J3="L","Light",IF(J3="D","Dark","")))</f>
        <v>Medium</v>
      </c>
      <c r="P3" t="str">
        <f>_xlfn.XLOOKUP(Orders_Table[[#This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_xlfn.XLOOKUP(Orders_Table[[#This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_xlfn.XLOOKUP(Orders_Table[[#This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_xlfn.XLOOKUP(Orders_Table[[#This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_xlfn.XLOOKUP(Orders_Table[[#This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_xlfn.XLOOKUP(Orders_Table[[#This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_xlfn.XLOOKUP(Orders_Table[[#This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_xlfn.XLOOKUP(Orders_Table[[#This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_xlfn.XLOOKUP(Orders_Table[[#This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_xlfn.XLOOKUP(Orders_Table[[#This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_xlfn.XLOOKUP(Orders_Table[[#This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_xlfn.XLOOKUP(Orders_Table[[#This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_xlfn.XLOOKUP(Orders_Table[[#This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_xlfn.XLOOKUP(Orders_Table[[#This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_xlfn.XLOOKUP(Orders_Table[[#This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_xlfn.XLOOKUP(Orders_Table[[#This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_xlfn.XLOOKUP(Orders_Table[[#This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_xlfn.XLOOKUP(Orders_Table[[#This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_xlfn.XLOOKUP(Orders_Table[[#This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_xlfn.XLOOKUP(Orders_Table[[#This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_xlfn.XLOOKUP(Orders_Table[[#This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_xlfn.XLOOKUP(Orders_Table[[#This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_xlfn.XLOOKUP(Orders_Table[[#This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_xlfn.XLOOKUP(Orders_Table[[#This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_xlfn.XLOOKUP(Orders_Table[[#This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_xlfn.XLOOKUP(Orders_Table[[#This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_xlfn.XLOOKUP(Orders_Table[[#This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_xlfn.XLOOKUP(Orders_Table[[#This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_xlfn.XLOOKUP(Orders_Table[[#This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_xlfn.XLOOKUP(Orders_Table[[#This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_xlfn.XLOOKUP(Orders_Table[[#This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_xlfn.XLOOKUP(Orders_Table[[#This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_xlfn.XLOOKUP(Orders_Table[[#This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_xlfn.XLOOKUP(Orders_Table[[#This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_xlfn.XLOOKUP(Orders_Table[[#This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_xlfn.XLOOKUP(Orders_Table[[#This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_xlfn.XLOOKUP(Orders_Table[[#This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_xlfn.XLOOKUP(Orders_Table[[#This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_xlfn.XLOOKUP(Orders_Table[[#This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_xlfn.XLOOKUP(Orders_Table[[#This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_xlfn.XLOOKUP(Orders_Table[[#This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_xlfn.XLOOKUP(Orders_Table[[#This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_xlfn.XLOOKUP(Orders_Table[[#This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_xlfn.XLOOKUP(Orders_Table[[#This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_xlfn.XLOOKUP(Orders_Table[[#This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_xlfn.XLOOKUP(Orders_Table[[#This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_xlfn.XLOOKUP(Orders_Table[[#This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_xlfn.XLOOKUP(Orders_Table[[#This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_xlfn.XLOOKUP(Orders_Table[[#This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_xlfn.XLOOKUP(Orders_Table[[#This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_xlfn.XLOOKUP(Orders_Table[[#This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_xlfn.XLOOKUP(Orders_Table[[#This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_xlfn.XLOOKUP(Orders_Table[[#This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_xlfn.XLOOKUP(Orders_Table[[#This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_xlfn.XLOOKUP(Orders_Table[[#This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_xlfn.XLOOKUP(Orders_Table[[#This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_xlfn.XLOOKUP(Orders_Table[[#This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_xlfn.XLOOKUP(Orders_Table[[#This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_xlfn.XLOOKUP(Orders_Table[[#This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_xlfn.XLOOKUP(Orders_Table[[#This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_xlfn.XLOOKUP(Orders_Table[[#This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_xlfn.XLOOKUP(Orders_Table[[#This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_xlfn.XLOOKUP(Orders_Table[[#This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_xlfn.XLOOKUP(Orders_Table[[#This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 "Robusta", IF(I67 = "Exc","Excelsa", IF(I67="Ara","Arabica", IF(I67="Lib", "Liberica",""))))</f>
        <v>Robusta</v>
      </c>
      <c r="O67" t="str">
        <f t="shared" ref="O67:O130" si="5">IF(J67="M","Medium",IF(J67="L","Light",IF(J67="D","Dark","")))</f>
        <v>Dark</v>
      </c>
      <c r="P67" t="str">
        <f>_xlfn.XLOOKUP(Orders_Table[[#This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_xlfn.XLOOKUP(Orders_Table[[#This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_xlfn.XLOOKUP(Orders_Table[[#This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_xlfn.XLOOKUP(Orders_Table[[#This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_xlfn.XLOOKUP(Orders_Table[[#This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_xlfn.XLOOKUP(Orders_Table[[#This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_xlfn.XLOOKUP(Orders_Table[[#This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_xlfn.XLOOKUP(Orders_Table[[#This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_xlfn.XLOOKUP(Orders_Table[[#This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_xlfn.XLOOKUP(Orders_Table[[#This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_xlfn.XLOOKUP(Orders_Table[[#This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_xlfn.XLOOKUP(Orders_Table[[#This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_xlfn.XLOOKUP(Orders_Table[[#This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_xlfn.XLOOKUP(Orders_Table[[#This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_xlfn.XLOOKUP(Orders_Table[[#This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_xlfn.XLOOKUP(Orders_Table[[#This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_xlfn.XLOOKUP(Orders_Table[[#This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_xlfn.XLOOKUP(Orders_Table[[#This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_xlfn.XLOOKUP(Orders_Table[[#This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_xlfn.XLOOKUP(Orders_Table[[#This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_xlfn.XLOOKUP(Orders_Table[[#This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_xlfn.XLOOKUP(Orders_Table[[#This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_xlfn.XLOOKUP(Orders_Table[[#This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_xlfn.XLOOKUP(Orders_Table[[#This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_xlfn.XLOOKUP(Orders_Table[[#This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_xlfn.XLOOKUP(Orders_Table[[#This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_xlfn.XLOOKUP(Orders_Table[[#This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_xlfn.XLOOKUP(Orders_Table[[#This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_xlfn.XLOOKUP(Orders_Table[[#This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_xlfn.XLOOKUP(Orders_Table[[#This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_xlfn.XLOOKUP(Orders_Table[[#This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_xlfn.XLOOKUP(Orders_Table[[#This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_xlfn.XLOOKUP(Orders_Table[[#This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_xlfn.XLOOKUP(Orders_Table[[#This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_xlfn.XLOOKUP(Orders_Table[[#This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_xlfn.XLOOKUP(Orders_Table[[#This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_xlfn.XLOOKUP(Orders_Table[[#This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_xlfn.XLOOKUP(Orders_Table[[#This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_xlfn.XLOOKUP(Orders_Table[[#This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_xlfn.XLOOKUP(Orders_Table[[#This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_xlfn.XLOOKUP(Orders_Table[[#This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_xlfn.XLOOKUP(Orders_Table[[#This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_xlfn.XLOOKUP(Orders_Table[[#This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_xlfn.XLOOKUP(Orders_Table[[#This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_xlfn.XLOOKUP(Orders_Table[[#This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_xlfn.XLOOKUP(Orders_Table[[#This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_xlfn.XLOOKUP(Orders_Table[[#This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_xlfn.XLOOKUP(Orders_Table[[#This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_xlfn.XLOOKUP(Orders_Table[[#This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_xlfn.XLOOKUP(Orders_Table[[#This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_xlfn.XLOOKUP(Orders_Table[[#This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_xlfn.XLOOKUP(Orders_Table[[#This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_xlfn.XLOOKUP(Orders_Table[[#This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_xlfn.XLOOKUP(Orders_Table[[#This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_xlfn.XLOOKUP(Orders_Table[[#This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_xlfn.XLOOKUP(Orders_Table[[#This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_xlfn.XLOOKUP(Orders_Table[[#This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_xlfn.XLOOKUP(Orders_Table[[#This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_xlfn.XLOOKUP(Orders_Table[[#This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_xlfn.XLOOKUP(Orders_Table[[#This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_xlfn.XLOOKUP(Orders_Table[[#This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_xlfn.XLOOKUP(Orders_Table[[#This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_xlfn.XLOOKUP(Orders_Table[[#This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_xlfn.XLOOKUP(Orders_Table[[#This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 "Robusta", IF(I131 = "Exc","Excelsa", IF(I131="Ara","Arabica", IF(I131="Lib", "Liberica",""))))</f>
        <v>Excelsa</v>
      </c>
      <c r="O131" t="str">
        <f t="shared" ref="O131:O194" si="8">IF(J131="M","Medium",IF(J131="L","Light",IF(J131="D","Dark","")))</f>
        <v>Dark</v>
      </c>
      <c r="P131" t="str">
        <f>_xlfn.XLOOKUP(Orders_Table[[#This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_xlfn.XLOOKUP(Orders_Table[[#This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_xlfn.XLOOKUP(Orders_Table[[#This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_xlfn.XLOOKUP(Orders_Table[[#This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_xlfn.XLOOKUP(Orders_Table[[#This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_xlfn.XLOOKUP(Orders_Table[[#This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_xlfn.XLOOKUP(Orders_Table[[#This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_xlfn.XLOOKUP(Orders_Table[[#This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_xlfn.XLOOKUP(Orders_Table[[#This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_xlfn.XLOOKUP(Orders_Table[[#This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_xlfn.XLOOKUP(Orders_Table[[#This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_xlfn.XLOOKUP(Orders_Table[[#This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_xlfn.XLOOKUP(Orders_Table[[#This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_xlfn.XLOOKUP(Orders_Table[[#This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_xlfn.XLOOKUP(Orders_Table[[#This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_xlfn.XLOOKUP(Orders_Table[[#This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_xlfn.XLOOKUP(Orders_Table[[#This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_xlfn.XLOOKUP(Orders_Table[[#This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_xlfn.XLOOKUP(Orders_Table[[#This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_xlfn.XLOOKUP(Orders_Table[[#This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_xlfn.XLOOKUP(Orders_Table[[#This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_xlfn.XLOOKUP(Orders_Table[[#This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_xlfn.XLOOKUP(Orders_Table[[#This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_xlfn.XLOOKUP(Orders_Table[[#This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_xlfn.XLOOKUP(Orders_Table[[#This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_xlfn.XLOOKUP(Orders_Table[[#This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_xlfn.XLOOKUP(Orders_Table[[#This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_xlfn.XLOOKUP(Orders_Table[[#This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_xlfn.XLOOKUP(Orders_Table[[#This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_xlfn.XLOOKUP(Orders_Table[[#This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_xlfn.XLOOKUP(Orders_Table[[#This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_xlfn.XLOOKUP(Orders_Table[[#This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_xlfn.XLOOKUP(Orders_Table[[#This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_xlfn.XLOOKUP(Orders_Table[[#This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_xlfn.XLOOKUP(Orders_Table[[#This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_xlfn.XLOOKUP(Orders_Table[[#This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_xlfn.XLOOKUP(Orders_Table[[#This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_xlfn.XLOOKUP(Orders_Table[[#This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_xlfn.XLOOKUP(Orders_Table[[#This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_xlfn.XLOOKUP(Orders_Table[[#This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_xlfn.XLOOKUP(Orders_Table[[#This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_xlfn.XLOOKUP(Orders_Table[[#This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_xlfn.XLOOKUP(Orders_Table[[#This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_xlfn.XLOOKUP(Orders_Table[[#This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_xlfn.XLOOKUP(Orders_Table[[#This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_xlfn.XLOOKUP(Orders_Table[[#This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_xlfn.XLOOKUP(Orders_Table[[#This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_xlfn.XLOOKUP(Orders_Table[[#This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_xlfn.XLOOKUP(Orders_Table[[#This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_xlfn.XLOOKUP(Orders_Table[[#This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_xlfn.XLOOKUP(Orders_Table[[#This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_xlfn.XLOOKUP(Orders_Table[[#This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_xlfn.XLOOKUP(Orders_Table[[#This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_xlfn.XLOOKUP(Orders_Table[[#This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_xlfn.XLOOKUP(Orders_Table[[#This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_xlfn.XLOOKUP(Orders_Table[[#This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_xlfn.XLOOKUP(Orders_Table[[#This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_xlfn.XLOOKUP(Orders_Table[[#This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_xlfn.XLOOKUP(Orders_Table[[#This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_xlfn.XLOOKUP(Orders_Table[[#This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_xlfn.XLOOKUP(Orders_Table[[#This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_xlfn.XLOOKUP(Orders_Table[[#This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_xlfn.XLOOKUP(Orders_Table[[#This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_xlfn.XLOOKUP(Orders_Table[[#This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 "Robusta", IF(I195 = "Exc","Excelsa", IF(I195="Ara","Arabica", IF(I195="Lib", "Liberica",""))))</f>
        <v>Excelsa</v>
      </c>
      <c r="O195" t="str">
        <f t="shared" ref="O195:O258" si="11">IF(J195="M","Medium",IF(J195="L","Light",IF(J195="D","Dark","")))</f>
        <v>Light</v>
      </c>
      <c r="P195" t="str">
        <f>_xlfn.XLOOKUP(Orders_Table[[#This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_xlfn.XLOOKUP(Orders_Table[[#This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_xlfn.XLOOKUP(Orders_Table[[#This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_xlfn.XLOOKUP(Orders_Table[[#This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_xlfn.XLOOKUP(Orders_Table[[#This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_xlfn.XLOOKUP(Orders_Table[[#This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_xlfn.XLOOKUP(Orders_Table[[#This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_xlfn.XLOOKUP(Orders_Table[[#This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_xlfn.XLOOKUP(Orders_Table[[#This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_xlfn.XLOOKUP(Orders_Table[[#This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_xlfn.XLOOKUP(Orders_Table[[#This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_xlfn.XLOOKUP(Orders_Table[[#This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_xlfn.XLOOKUP(Orders_Table[[#This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_xlfn.XLOOKUP(Orders_Table[[#This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_xlfn.XLOOKUP(Orders_Table[[#This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_xlfn.XLOOKUP(Orders_Table[[#This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_xlfn.XLOOKUP(Orders_Table[[#This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_xlfn.XLOOKUP(Orders_Table[[#This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_xlfn.XLOOKUP(Orders_Table[[#This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_xlfn.XLOOKUP(Orders_Table[[#This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_xlfn.XLOOKUP(Orders_Table[[#This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_xlfn.XLOOKUP(Orders_Table[[#This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_xlfn.XLOOKUP(Orders_Table[[#This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_xlfn.XLOOKUP(Orders_Table[[#This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_xlfn.XLOOKUP(Orders_Table[[#This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_xlfn.XLOOKUP(Orders_Table[[#This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_xlfn.XLOOKUP(Orders_Table[[#This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_xlfn.XLOOKUP(Orders_Table[[#This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_xlfn.XLOOKUP(Orders_Table[[#This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_xlfn.XLOOKUP(Orders_Table[[#This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_xlfn.XLOOKUP(Orders_Table[[#This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_xlfn.XLOOKUP(Orders_Table[[#This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_xlfn.XLOOKUP(Orders_Table[[#This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_xlfn.XLOOKUP(Orders_Table[[#This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_xlfn.XLOOKUP(Orders_Table[[#This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_xlfn.XLOOKUP(Orders_Table[[#This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_xlfn.XLOOKUP(Orders_Table[[#This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_xlfn.XLOOKUP(Orders_Table[[#This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_xlfn.XLOOKUP(Orders_Table[[#This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_xlfn.XLOOKUP(Orders_Table[[#This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_xlfn.XLOOKUP(Orders_Table[[#This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_xlfn.XLOOKUP(Orders_Table[[#This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_xlfn.XLOOKUP(Orders_Table[[#This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_xlfn.XLOOKUP(Orders_Table[[#This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_xlfn.XLOOKUP(Orders_Table[[#This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_xlfn.XLOOKUP(Orders_Table[[#This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_xlfn.XLOOKUP(Orders_Table[[#This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_xlfn.XLOOKUP(Orders_Table[[#This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_xlfn.XLOOKUP(Orders_Table[[#This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_xlfn.XLOOKUP(Orders_Table[[#This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_xlfn.XLOOKUP(Orders_Table[[#This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_xlfn.XLOOKUP(Orders_Table[[#This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_xlfn.XLOOKUP(Orders_Table[[#This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_xlfn.XLOOKUP(Orders_Table[[#This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_xlfn.XLOOKUP(Orders_Table[[#This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_xlfn.XLOOKUP(Orders_Table[[#This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_xlfn.XLOOKUP(Orders_Table[[#This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_xlfn.XLOOKUP(Orders_Table[[#This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_xlfn.XLOOKUP(Orders_Table[[#This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_xlfn.XLOOKUP(Orders_Table[[#This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_xlfn.XLOOKUP(Orders_Table[[#This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_xlfn.XLOOKUP(Orders_Table[[#This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_xlfn.XLOOKUP(Orders_Table[[#This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_xlfn.XLOOKUP(Orders_Table[[#This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 "Robusta", IF(I259 = "Exc","Excelsa", IF(I259="Ara","Arabica", IF(I259="Lib", "Liberica",""))))</f>
        <v>Excelsa</v>
      </c>
      <c r="O259" t="str">
        <f t="shared" ref="O259:O322" si="14">IF(J259="M","Medium",IF(J259="L","Light",IF(J259="D","Dark","")))</f>
        <v>Dark</v>
      </c>
      <c r="P259" t="str">
        <f>_xlfn.XLOOKUP(Orders_Table[[#This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_xlfn.XLOOKUP(Orders_Table[[#This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_xlfn.XLOOKUP(Orders_Table[[#This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_xlfn.XLOOKUP(Orders_Table[[#This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_xlfn.XLOOKUP(Orders_Table[[#This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_xlfn.XLOOKUP(Orders_Table[[#This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_xlfn.XLOOKUP(Orders_Table[[#This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_xlfn.XLOOKUP(Orders_Table[[#This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_xlfn.XLOOKUP(Orders_Table[[#This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_xlfn.XLOOKUP(Orders_Table[[#This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_xlfn.XLOOKUP(Orders_Table[[#This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_xlfn.XLOOKUP(Orders_Table[[#This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_xlfn.XLOOKUP(Orders_Table[[#This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_xlfn.XLOOKUP(Orders_Table[[#This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_xlfn.XLOOKUP(Orders_Table[[#This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_xlfn.XLOOKUP(Orders_Table[[#This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_xlfn.XLOOKUP(Orders_Table[[#This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_xlfn.XLOOKUP(Orders_Table[[#This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_xlfn.XLOOKUP(Orders_Table[[#This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_xlfn.XLOOKUP(Orders_Table[[#This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_xlfn.XLOOKUP(Orders_Table[[#This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_xlfn.XLOOKUP(Orders_Table[[#This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_xlfn.XLOOKUP(Orders_Table[[#This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_xlfn.XLOOKUP(Orders_Table[[#This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_xlfn.XLOOKUP(Orders_Table[[#This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_xlfn.XLOOKUP(Orders_Table[[#This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_xlfn.XLOOKUP(Orders_Table[[#This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_xlfn.XLOOKUP(Orders_Table[[#This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_xlfn.XLOOKUP(Orders_Table[[#This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_xlfn.XLOOKUP(Orders_Table[[#This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_xlfn.XLOOKUP(Orders_Table[[#This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_xlfn.XLOOKUP(Orders_Table[[#This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_xlfn.XLOOKUP(Orders_Table[[#This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_xlfn.XLOOKUP(Orders_Table[[#This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_xlfn.XLOOKUP(Orders_Table[[#This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_xlfn.XLOOKUP(Orders_Table[[#This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_xlfn.XLOOKUP(Orders_Table[[#This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_xlfn.XLOOKUP(Orders_Table[[#This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_xlfn.XLOOKUP(Orders_Table[[#This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_xlfn.XLOOKUP(Orders_Table[[#This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_xlfn.XLOOKUP(Orders_Table[[#This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_xlfn.XLOOKUP(Orders_Table[[#This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_xlfn.XLOOKUP(Orders_Table[[#This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_xlfn.XLOOKUP(Orders_Table[[#This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_xlfn.XLOOKUP(Orders_Table[[#This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_xlfn.XLOOKUP(Orders_Table[[#This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_xlfn.XLOOKUP(Orders_Table[[#This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_xlfn.XLOOKUP(Orders_Table[[#This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_xlfn.XLOOKUP(Orders_Table[[#This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_xlfn.XLOOKUP(Orders_Table[[#This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_xlfn.XLOOKUP(Orders_Table[[#This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_xlfn.XLOOKUP(Orders_Table[[#This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_xlfn.XLOOKUP(Orders_Table[[#This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_xlfn.XLOOKUP(Orders_Table[[#This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_xlfn.XLOOKUP(Orders_Table[[#This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_xlfn.XLOOKUP(Orders_Table[[#This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_xlfn.XLOOKUP(Orders_Table[[#This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_xlfn.XLOOKUP(Orders_Table[[#This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_xlfn.XLOOKUP(Orders_Table[[#This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_xlfn.XLOOKUP(Orders_Table[[#This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_xlfn.XLOOKUP(Orders_Table[[#This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_xlfn.XLOOKUP(Orders_Table[[#This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_xlfn.XLOOKUP(Orders_Table[[#This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_xlfn.XLOOKUP(Orders_Table[[#This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 "Robusta", IF(I323 = "Exc","Excelsa", IF(I323="Ara","Arabica", IF(I323="Lib", "Liberica",""))))</f>
        <v>Arabica</v>
      </c>
      <c r="O323" t="str">
        <f t="shared" ref="O323:O386" si="17">IF(J323="M","Medium",IF(J323="L","Light",IF(J323="D","Dark","")))</f>
        <v>Medium</v>
      </c>
      <c r="P323" t="str">
        <f>_xlfn.XLOOKUP(Orders_Table[[#This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_xlfn.XLOOKUP(Orders_Table[[#This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_xlfn.XLOOKUP(Orders_Table[[#This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_xlfn.XLOOKUP(Orders_Table[[#This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_xlfn.XLOOKUP(Orders_Table[[#This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_xlfn.XLOOKUP(Orders_Table[[#This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_xlfn.XLOOKUP(Orders_Table[[#This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_xlfn.XLOOKUP(Orders_Table[[#This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_xlfn.XLOOKUP(Orders_Table[[#This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_xlfn.XLOOKUP(Orders_Table[[#This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_xlfn.XLOOKUP(Orders_Table[[#This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_xlfn.XLOOKUP(Orders_Table[[#This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_xlfn.XLOOKUP(Orders_Table[[#This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_xlfn.XLOOKUP(Orders_Table[[#This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_xlfn.XLOOKUP(Orders_Table[[#This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_xlfn.XLOOKUP(Orders_Table[[#This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_xlfn.XLOOKUP(Orders_Table[[#This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_xlfn.XLOOKUP(Orders_Table[[#This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_xlfn.XLOOKUP(Orders_Table[[#This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_xlfn.XLOOKUP(Orders_Table[[#This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_xlfn.XLOOKUP(Orders_Table[[#This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_xlfn.XLOOKUP(Orders_Table[[#This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_xlfn.XLOOKUP(Orders_Table[[#This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_xlfn.XLOOKUP(Orders_Table[[#This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_xlfn.XLOOKUP(Orders_Table[[#This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_xlfn.XLOOKUP(Orders_Table[[#This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_xlfn.XLOOKUP(Orders_Table[[#This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_xlfn.XLOOKUP(Orders_Table[[#This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_xlfn.XLOOKUP(Orders_Table[[#This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_xlfn.XLOOKUP(Orders_Table[[#This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_xlfn.XLOOKUP(Orders_Table[[#This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_xlfn.XLOOKUP(Orders_Table[[#This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_xlfn.XLOOKUP(Orders_Table[[#This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_xlfn.XLOOKUP(Orders_Table[[#This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_xlfn.XLOOKUP(Orders_Table[[#This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_xlfn.XLOOKUP(Orders_Table[[#This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_xlfn.XLOOKUP(Orders_Table[[#This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_xlfn.XLOOKUP(Orders_Table[[#This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_xlfn.XLOOKUP(Orders_Table[[#This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_xlfn.XLOOKUP(Orders_Table[[#This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_xlfn.XLOOKUP(Orders_Table[[#This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_xlfn.XLOOKUP(Orders_Table[[#This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_xlfn.XLOOKUP(Orders_Table[[#This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_xlfn.XLOOKUP(Orders_Table[[#This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_xlfn.XLOOKUP(Orders_Table[[#This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_xlfn.XLOOKUP(Orders_Table[[#This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_xlfn.XLOOKUP(Orders_Table[[#This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_xlfn.XLOOKUP(Orders_Table[[#This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_xlfn.XLOOKUP(Orders_Table[[#This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_xlfn.XLOOKUP(Orders_Table[[#This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_xlfn.XLOOKUP(Orders_Table[[#This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_xlfn.XLOOKUP(Orders_Table[[#This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_xlfn.XLOOKUP(Orders_Table[[#This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_xlfn.XLOOKUP(Orders_Table[[#This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_xlfn.XLOOKUP(Orders_Table[[#This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_xlfn.XLOOKUP(Orders_Table[[#This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_xlfn.XLOOKUP(Orders_Table[[#This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_xlfn.XLOOKUP(Orders_Table[[#This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_xlfn.XLOOKUP(Orders_Table[[#This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_xlfn.XLOOKUP(Orders_Table[[#This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_xlfn.XLOOKUP(Orders_Table[[#This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_xlfn.XLOOKUP(Orders_Table[[#This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_xlfn.XLOOKUP(Orders_Table[[#This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_xlfn.XLOOKUP(Orders_Table[[#This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 "Robusta", IF(I387 = "Exc","Excelsa", IF(I387="Ara","Arabica", IF(I387="Lib", "Liberica",""))))</f>
        <v>Liberica</v>
      </c>
      <c r="O387" t="str">
        <f t="shared" ref="O387:O450" si="20">IF(J387="M","Medium",IF(J387="L","Light",IF(J387="D","Dark","")))</f>
        <v>Medium</v>
      </c>
      <c r="P387" t="str">
        <f>_xlfn.XLOOKUP(Orders_Table[[#This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_xlfn.XLOOKUP(Orders_Table[[#This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_xlfn.XLOOKUP(Orders_Table[[#This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_xlfn.XLOOKUP(Orders_Table[[#This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_xlfn.XLOOKUP(Orders_Table[[#This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_xlfn.XLOOKUP(Orders_Table[[#This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_xlfn.XLOOKUP(Orders_Table[[#This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_xlfn.XLOOKUP(Orders_Table[[#This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_xlfn.XLOOKUP(Orders_Table[[#This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_xlfn.XLOOKUP(Orders_Table[[#This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_xlfn.XLOOKUP(Orders_Table[[#This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_xlfn.XLOOKUP(Orders_Table[[#This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_xlfn.XLOOKUP(Orders_Table[[#This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_xlfn.XLOOKUP(Orders_Table[[#This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_xlfn.XLOOKUP(Orders_Table[[#This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_xlfn.XLOOKUP(Orders_Table[[#This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_xlfn.XLOOKUP(Orders_Table[[#This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_xlfn.XLOOKUP(Orders_Table[[#This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_xlfn.XLOOKUP(Orders_Table[[#This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_xlfn.XLOOKUP(Orders_Table[[#This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_xlfn.XLOOKUP(Orders_Table[[#This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_xlfn.XLOOKUP(Orders_Table[[#This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_xlfn.XLOOKUP(Orders_Table[[#This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_xlfn.XLOOKUP(Orders_Table[[#This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_xlfn.XLOOKUP(Orders_Table[[#This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_xlfn.XLOOKUP(Orders_Table[[#This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_xlfn.XLOOKUP(Orders_Table[[#This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_xlfn.XLOOKUP(Orders_Table[[#This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_xlfn.XLOOKUP(Orders_Table[[#This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_xlfn.XLOOKUP(Orders_Table[[#This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_xlfn.XLOOKUP(Orders_Table[[#This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_xlfn.XLOOKUP(Orders_Table[[#This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_xlfn.XLOOKUP(Orders_Table[[#This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_xlfn.XLOOKUP(Orders_Table[[#This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_xlfn.XLOOKUP(Orders_Table[[#This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_xlfn.XLOOKUP(Orders_Table[[#This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_xlfn.XLOOKUP(Orders_Table[[#This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_xlfn.XLOOKUP(Orders_Table[[#This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_xlfn.XLOOKUP(Orders_Table[[#This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_xlfn.XLOOKUP(Orders_Table[[#This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_xlfn.XLOOKUP(Orders_Table[[#This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_xlfn.XLOOKUP(Orders_Table[[#This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_xlfn.XLOOKUP(Orders_Table[[#This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_xlfn.XLOOKUP(Orders_Table[[#This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_xlfn.XLOOKUP(Orders_Table[[#This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_xlfn.XLOOKUP(Orders_Table[[#This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_xlfn.XLOOKUP(Orders_Table[[#This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_xlfn.XLOOKUP(Orders_Table[[#This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_xlfn.XLOOKUP(Orders_Table[[#This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_xlfn.XLOOKUP(Orders_Table[[#This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_xlfn.XLOOKUP(Orders_Table[[#This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_xlfn.XLOOKUP(Orders_Table[[#This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_xlfn.XLOOKUP(Orders_Table[[#This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_xlfn.XLOOKUP(Orders_Table[[#This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_xlfn.XLOOKUP(Orders_Table[[#This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_xlfn.XLOOKUP(Orders_Table[[#This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_xlfn.XLOOKUP(Orders_Table[[#This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_xlfn.XLOOKUP(Orders_Table[[#This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_xlfn.XLOOKUP(Orders_Table[[#This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_xlfn.XLOOKUP(Orders_Table[[#This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_xlfn.XLOOKUP(Orders_Table[[#This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_xlfn.XLOOKUP(Orders_Table[[#This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_xlfn.XLOOKUP(Orders_Table[[#This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_xlfn.XLOOKUP(Orders_Table[[#This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 "Robusta", IF(I451 = "Exc","Excelsa", IF(I451="Ara","Arabica", IF(I451="Lib", "Liberica",""))))</f>
        <v>Robusta</v>
      </c>
      <c r="O451" t="str">
        <f t="shared" ref="O451:O514" si="23">IF(J451="M","Medium",IF(J451="L","Light",IF(J451="D","Dark","")))</f>
        <v>Dark</v>
      </c>
      <c r="P451" t="str">
        <f>_xlfn.XLOOKUP(Orders_Table[[#This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_xlfn.XLOOKUP(Orders_Table[[#This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_xlfn.XLOOKUP(Orders_Table[[#This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_xlfn.XLOOKUP(Orders_Table[[#This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_xlfn.XLOOKUP(Orders_Table[[#This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_xlfn.XLOOKUP(Orders_Table[[#This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_xlfn.XLOOKUP(Orders_Table[[#This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_xlfn.XLOOKUP(Orders_Table[[#This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_xlfn.XLOOKUP(Orders_Table[[#This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_xlfn.XLOOKUP(Orders_Table[[#This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_xlfn.XLOOKUP(Orders_Table[[#This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_xlfn.XLOOKUP(Orders_Table[[#This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_xlfn.XLOOKUP(Orders_Table[[#This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_xlfn.XLOOKUP(Orders_Table[[#This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_xlfn.XLOOKUP(Orders_Table[[#This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_xlfn.XLOOKUP(Orders_Table[[#This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_xlfn.XLOOKUP(Orders_Table[[#This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_xlfn.XLOOKUP(Orders_Table[[#This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_xlfn.XLOOKUP(Orders_Table[[#This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_xlfn.XLOOKUP(Orders_Table[[#This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_xlfn.XLOOKUP(Orders_Table[[#This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_xlfn.XLOOKUP(Orders_Table[[#This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_xlfn.XLOOKUP(Orders_Table[[#This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_xlfn.XLOOKUP(Orders_Table[[#This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_xlfn.XLOOKUP(Orders_Table[[#This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_xlfn.XLOOKUP(Orders_Table[[#This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_xlfn.XLOOKUP(Orders_Table[[#This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_xlfn.XLOOKUP(Orders_Table[[#This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_xlfn.XLOOKUP(Orders_Table[[#This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_xlfn.XLOOKUP(Orders_Table[[#This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_xlfn.XLOOKUP(Orders_Table[[#This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_xlfn.XLOOKUP(Orders_Table[[#This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_xlfn.XLOOKUP(Orders_Table[[#This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_xlfn.XLOOKUP(Orders_Table[[#This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_xlfn.XLOOKUP(Orders_Table[[#This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_xlfn.XLOOKUP(Orders_Table[[#This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_xlfn.XLOOKUP(Orders_Table[[#This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_xlfn.XLOOKUP(Orders_Table[[#This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_xlfn.XLOOKUP(Orders_Table[[#This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_xlfn.XLOOKUP(Orders_Table[[#This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_xlfn.XLOOKUP(Orders_Table[[#This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_xlfn.XLOOKUP(Orders_Table[[#This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_xlfn.XLOOKUP(Orders_Table[[#This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_xlfn.XLOOKUP(Orders_Table[[#This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_xlfn.XLOOKUP(Orders_Table[[#This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_xlfn.XLOOKUP(Orders_Table[[#This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_xlfn.XLOOKUP(Orders_Table[[#This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_xlfn.XLOOKUP(Orders_Table[[#This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_xlfn.XLOOKUP(Orders_Table[[#This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_xlfn.XLOOKUP(Orders_Table[[#This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_xlfn.XLOOKUP(Orders_Table[[#This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_xlfn.XLOOKUP(Orders_Table[[#This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_xlfn.XLOOKUP(Orders_Table[[#This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_xlfn.XLOOKUP(Orders_Table[[#This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_xlfn.XLOOKUP(Orders_Table[[#This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_xlfn.XLOOKUP(Orders_Table[[#This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_xlfn.XLOOKUP(Orders_Table[[#This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_xlfn.XLOOKUP(Orders_Table[[#This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_xlfn.XLOOKUP(Orders_Table[[#This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_xlfn.XLOOKUP(Orders_Table[[#This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_xlfn.XLOOKUP(Orders_Table[[#This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_xlfn.XLOOKUP(Orders_Table[[#This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_xlfn.XLOOKUP(Orders_Table[[#This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_xlfn.XLOOKUP(Orders_Table[[#This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 "Robusta", IF(I515 = "Exc","Excelsa", IF(I515="Ara","Arabica", IF(I515="Lib", "Liberica",""))))</f>
        <v>Liberica</v>
      </c>
      <c r="O515" t="str">
        <f t="shared" ref="O515:O578" si="26">IF(J515="M","Medium",IF(J515="L","Light",IF(J515="D","Dark","")))</f>
        <v>Light</v>
      </c>
      <c r="P515" t="str">
        <f>_xlfn.XLOOKUP(Orders_Table[[#This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_xlfn.XLOOKUP(Orders_Table[[#This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_xlfn.XLOOKUP(Orders_Table[[#This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_xlfn.XLOOKUP(Orders_Table[[#This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_xlfn.XLOOKUP(Orders_Table[[#This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_xlfn.XLOOKUP(Orders_Table[[#This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_xlfn.XLOOKUP(Orders_Table[[#This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_xlfn.XLOOKUP(Orders_Table[[#This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_xlfn.XLOOKUP(Orders_Table[[#This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_xlfn.XLOOKUP(Orders_Table[[#This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_xlfn.XLOOKUP(Orders_Table[[#This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_xlfn.XLOOKUP(Orders_Table[[#This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_xlfn.XLOOKUP(Orders_Table[[#This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_xlfn.XLOOKUP(Orders_Table[[#This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_xlfn.XLOOKUP(Orders_Table[[#This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_xlfn.XLOOKUP(Orders_Table[[#This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_xlfn.XLOOKUP(Orders_Table[[#This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_xlfn.XLOOKUP(Orders_Table[[#This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_xlfn.XLOOKUP(Orders_Table[[#This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_xlfn.XLOOKUP(Orders_Table[[#This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_xlfn.XLOOKUP(Orders_Table[[#This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_xlfn.XLOOKUP(Orders_Table[[#This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_xlfn.XLOOKUP(Orders_Table[[#This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_xlfn.XLOOKUP(Orders_Table[[#This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_xlfn.XLOOKUP(Orders_Table[[#This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_xlfn.XLOOKUP(Orders_Table[[#This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_xlfn.XLOOKUP(Orders_Table[[#This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_xlfn.XLOOKUP(Orders_Table[[#This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_xlfn.XLOOKUP(Orders_Table[[#This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_xlfn.XLOOKUP(Orders_Table[[#This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_xlfn.XLOOKUP(Orders_Table[[#This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_xlfn.XLOOKUP(Orders_Table[[#This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_xlfn.XLOOKUP(Orders_Table[[#This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_xlfn.XLOOKUP(Orders_Table[[#This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_xlfn.XLOOKUP(Orders_Table[[#This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_xlfn.XLOOKUP(Orders_Table[[#This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_xlfn.XLOOKUP(Orders_Table[[#This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_xlfn.XLOOKUP(Orders_Table[[#This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_xlfn.XLOOKUP(Orders_Table[[#This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_xlfn.XLOOKUP(Orders_Table[[#This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_xlfn.XLOOKUP(Orders_Table[[#This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_xlfn.XLOOKUP(Orders_Table[[#This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_xlfn.XLOOKUP(Orders_Table[[#This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_xlfn.XLOOKUP(Orders_Table[[#This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_xlfn.XLOOKUP(Orders_Table[[#This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_xlfn.XLOOKUP(Orders_Table[[#This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_xlfn.XLOOKUP(Orders_Table[[#This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_xlfn.XLOOKUP(Orders_Table[[#This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_xlfn.XLOOKUP(Orders_Table[[#This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_xlfn.XLOOKUP(Orders_Table[[#This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_xlfn.XLOOKUP(Orders_Table[[#This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_xlfn.XLOOKUP(Orders_Table[[#This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_xlfn.XLOOKUP(Orders_Table[[#This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_xlfn.XLOOKUP(Orders_Table[[#This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_xlfn.XLOOKUP(Orders_Table[[#This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_xlfn.XLOOKUP(Orders_Table[[#This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_xlfn.XLOOKUP(Orders_Table[[#This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_xlfn.XLOOKUP(Orders_Table[[#This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_xlfn.XLOOKUP(Orders_Table[[#This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_xlfn.XLOOKUP(Orders_Table[[#This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_xlfn.XLOOKUP(Orders_Table[[#This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_xlfn.XLOOKUP(Orders_Table[[#This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_xlfn.XLOOKUP(Orders_Table[[#This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_xlfn.XLOOKUP(Orders_Table[[#This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 "Robusta", IF(I579 = "Exc","Excelsa", IF(I579="Ara","Arabica", IF(I579="Lib", "Liberica",""))))</f>
        <v>Liberica</v>
      </c>
      <c r="O579" t="str">
        <f t="shared" ref="O579:O642" si="29">IF(J579="M","Medium",IF(J579="L","Light",IF(J579="D","Dark","")))</f>
        <v>Medium</v>
      </c>
      <c r="P579" t="str">
        <f>_xlfn.XLOOKUP(Orders_Table[[#This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_xlfn.XLOOKUP(Orders_Table[[#This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_xlfn.XLOOKUP(Orders_Table[[#This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_xlfn.XLOOKUP(Orders_Table[[#This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_xlfn.XLOOKUP(Orders_Table[[#This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_xlfn.XLOOKUP(Orders_Table[[#This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_xlfn.XLOOKUP(Orders_Table[[#This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_xlfn.XLOOKUP(Orders_Table[[#This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_xlfn.XLOOKUP(Orders_Table[[#This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_xlfn.XLOOKUP(Orders_Table[[#This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_xlfn.XLOOKUP(Orders_Table[[#This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_xlfn.XLOOKUP(Orders_Table[[#This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_xlfn.XLOOKUP(Orders_Table[[#This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_xlfn.XLOOKUP(Orders_Table[[#This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_xlfn.XLOOKUP(Orders_Table[[#This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_xlfn.XLOOKUP(Orders_Table[[#This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_xlfn.XLOOKUP(Orders_Table[[#This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_xlfn.XLOOKUP(Orders_Table[[#This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_xlfn.XLOOKUP(Orders_Table[[#This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_xlfn.XLOOKUP(Orders_Table[[#This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_xlfn.XLOOKUP(Orders_Table[[#This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_xlfn.XLOOKUP(Orders_Table[[#This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_xlfn.XLOOKUP(Orders_Table[[#This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_xlfn.XLOOKUP(Orders_Table[[#This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_xlfn.XLOOKUP(Orders_Table[[#This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_xlfn.XLOOKUP(Orders_Table[[#This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_xlfn.XLOOKUP(Orders_Table[[#This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_xlfn.XLOOKUP(Orders_Table[[#This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_xlfn.XLOOKUP(Orders_Table[[#This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_xlfn.XLOOKUP(Orders_Table[[#This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_xlfn.XLOOKUP(Orders_Table[[#This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_xlfn.XLOOKUP(Orders_Table[[#This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_xlfn.XLOOKUP(Orders_Table[[#This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_xlfn.XLOOKUP(Orders_Table[[#This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_xlfn.XLOOKUP(Orders_Table[[#This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_xlfn.XLOOKUP(Orders_Table[[#This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_xlfn.XLOOKUP(Orders_Table[[#This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_xlfn.XLOOKUP(Orders_Table[[#This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_xlfn.XLOOKUP(Orders_Table[[#This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_xlfn.XLOOKUP(Orders_Table[[#This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_xlfn.XLOOKUP(Orders_Table[[#This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_xlfn.XLOOKUP(Orders_Table[[#This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_xlfn.XLOOKUP(Orders_Table[[#This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_xlfn.XLOOKUP(Orders_Table[[#This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_xlfn.XLOOKUP(Orders_Table[[#This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_xlfn.XLOOKUP(Orders_Table[[#This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_xlfn.XLOOKUP(Orders_Table[[#This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_xlfn.XLOOKUP(Orders_Table[[#This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_xlfn.XLOOKUP(Orders_Table[[#This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_xlfn.XLOOKUP(Orders_Table[[#This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_xlfn.XLOOKUP(Orders_Table[[#This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_xlfn.XLOOKUP(Orders_Table[[#This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_xlfn.XLOOKUP(Orders_Table[[#This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_xlfn.XLOOKUP(Orders_Table[[#This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_xlfn.XLOOKUP(Orders_Table[[#This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_xlfn.XLOOKUP(Orders_Table[[#This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_xlfn.XLOOKUP(Orders_Table[[#This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_xlfn.XLOOKUP(Orders_Table[[#This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_xlfn.XLOOKUP(Orders_Table[[#This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_xlfn.XLOOKUP(Orders_Table[[#This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_xlfn.XLOOKUP(Orders_Table[[#This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_xlfn.XLOOKUP(Orders_Table[[#This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_xlfn.XLOOKUP(Orders_Table[[#This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_xlfn.XLOOKUP(Orders_Table[[#This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 "Robusta", IF(I643 = "Exc","Excelsa", IF(I643="Ara","Arabica", IF(I643="Lib", "Liberica",""))))</f>
        <v>Robusta</v>
      </c>
      <c r="O643" t="str">
        <f t="shared" ref="O643:O706" si="32">IF(J643="M","Medium",IF(J643="L","Light",IF(J643="D","Dark","")))</f>
        <v>Light</v>
      </c>
      <c r="P643" t="str">
        <f>_xlfn.XLOOKUP(Orders_Table[[#This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_xlfn.XLOOKUP(Orders_Table[[#This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_xlfn.XLOOKUP(Orders_Table[[#This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_xlfn.XLOOKUP(Orders_Table[[#This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_xlfn.XLOOKUP(Orders_Table[[#This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_xlfn.XLOOKUP(Orders_Table[[#This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_xlfn.XLOOKUP(Orders_Table[[#This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_xlfn.XLOOKUP(Orders_Table[[#This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_xlfn.XLOOKUP(Orders_Table[[#This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_xlfn.XLOOKUP(Orders_Table[[#This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_xlfn.XLOOKUP(Orders_Table[[#This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_xlfn.XLOOKUP(Orders_Table[[#This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_xlfn.XLOOKUP(Orders_Table[[#This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_xlfn.XLOOKUP(Orders_Table[[#This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_xlfn.XLOOKUP(Orders_Table[[#This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_xlfn.XLOOKUP(Orders_Table[[#This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_xlfn.XLOOKUP(Orders_Table[[#This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_xlfn.XLOOKUP(Orders_Table[[#This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_xlfn.XLOOKUP(Orders_Table[[#This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_xlfn.XLOOKUP(Orders_Table[[#This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_xlfn.XLOOKUP(Orders_Table[[#This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_xlfn.XLOOKUP(Orders_Table[[#This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_xlfn.XLOOKUP(Orders_Table[[#This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_xlfn.XLOOKUP(Orders_Table[[#This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_xlfn.XLOOKUP(Orders_Table[[#This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_xlfn.XLOOKUP(Orders_Table[[#This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_xlfn.XLOOKUP(Orders_Table[[#This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_xlfn.XLOOKUP(Orders_Table[[#This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_xlfn.XLOOKUP(Orders_Table[[#This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_xlfn.XLOOKUP(Orders_Table[[#This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_xlfn.XLOOKUP(Orders_Table[[#This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_xlfn.XLOOKUP(Orders_Table[[#This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_xlfn.XLOOKUP(Orders_Table[[#This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_xlfn.XLOOKUP(Orders_Table[[#This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_xlfn.XLOOKUP(Orders_Table[[#This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_xlfn.XLOOKUP(Orders_Table[[#This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_xlfn.XLOOKUP(Orders_Table[[#This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_xlfn.XLOOKUP(Orders_Table[[#This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_xlfn.XLOOKUP(Orders_Table[[#This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_xlfn.XLOOKUP(Orders_Table[[#This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_xlfn.XLOOKUP(Orders_Table[[#This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_xlfn.XLOOKUP(Orders_Table[[#This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_xlfn.XLOOKUP(Orders_Table[[#This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_xlfn.XLOOKUP(Orders_Table[[#This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_xlfn.XLOOKUP(Orders_Table[[#This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_xlfn.XLOOKUP(Orders_Table[[#This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_xlfn.XLOOKUP(Orders_Table[[#This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_xlfn.XLOOKUP(Orders_Table[[#This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_xlfn.XLOOKUP(Orders_Table[[#This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_xlfn.XLOOKUP(Orders_Table[[#This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_xlfn.XLOOKUP(Orders_Table[[#This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_xlfn.XLOOKUP(Orders_Table[[#This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_xlfn.XLOOKUP(Orders_Table[[#This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_xlfn.XLOOKUP(Orders_Table[[#This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_xlfn.XLOOKUP(Orders_Table[[#This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_xlfn.XLOOKUP(Orders_Table[[#This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_xlfn.XLOOKUP(Orders_Table[[#This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_xlfn.XLOOKUP(Orders_Table[[#This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_xlfn.XLOOKUP(Orders_Table[[#This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_xlfn.XLOOKUP(Orders_Table[[#This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_xlfn.XLOOKUP(Orders_Table[[#This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_xlfn.XLOOKUP(Orders_Table[[#This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_xlfn.XLOOKUP(Orders_Table[[#This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_xlfn.XLOOKUP(Orders_Table[[#This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 "Robusta", IF(I707 = "Exc","Excelsa", IF(I707="Ara","Arabica", IF(I707="Lib", "Liberica",""))))</f>
        <v>Excelsa</v>
      </c>
      <c r="O707" t="str">
        <f t="shared" ref="O707:O770" si="35">IF(J707="M","Medium",IF(J707="L","Light",IF(J707="D","Dark","")))</f>
        <v>Light</v>
      </c>
      <c r="P707" t="str">
        <f>_xlfn.XLOOKUP(Orders_Table[[#This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_xlfn.XLOOKUP(Orders_Table[[#This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_xlfn.XLOOKUP(Orders_Table[[#This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_xlfn.XLOOKUP(Orders_Table[[#This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_xlfn.XLOOKUP(Orders_Table[[#This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_xlfn.XLOOKUP(Orders_Table[[#This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_xlfn.XLOOKUP(Orders_Table[[#This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_xlfn.XLOOKUP(Orders_Table[[#This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_xlfn.XLOOKUP(Orders_Table[[#This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_xlfn.XLOOKUP(Orders_Table[[#This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_xlfn.XLOOKUP(Orders_Table[[#This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_xlfn.XLOOKUP(Orders_Table[[#This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_xlfn.XLOOKUP(Orders_Table[[#This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_xlfn.XLOOKUP(Orders_Table[[#This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_xlfn.XLOOKUP(Orders_Table[[#This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_xlfn.XLOOKUP(Orders_Table[[#This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_xlfn.XLOOKUP(Orders_Table[[#This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_xlfn.XLOOKUP(Orders_Table[[#This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_xlfn.XLOOKUP(Orders_Table[[#This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_xlfn.XLOOKUP(Orders_Table[[#This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_xlfn.XLOOKUP(Orders_Table[[#This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_xlfn.XLOOKUP(Orders_Table[[#This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_xlfn.XLOOKUP(Orders_Table[[#This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_xlfn.XLOOKUP(Orders_Table[[#This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_xlfn.XLOOKUP(Orders_Table[[#This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_xlfn.XLOOKUP(Orders_Table[[#This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_xlfn.XLOOKUP(Orders_Table[[#This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_xlfn.XLOOKUP(Orders_Table[[#This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_xlfn.XLOOKUP(Orders_Table[[#This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_xlfn.XLOOKUP(Orders_Table[[#This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_xlfn.XLOOKUP(Orders_Table[[#This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_xlfn.XLOOKUP(Orders_Table[[#This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_xlfn.XLOOKUP(Orders_Table[[#This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_xlfn.XLOOKUP(Orders_Table[[#This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_xlfn.XLOOKUP(Orders_Table[[#This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_xlfn.XLOOKUP(Orders_Table[[#This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_xlfn.XLOOKUP(Orders_Table[[#This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_xlfn.XLOOKUP(Orders_Table[[#This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_xlfn.XLOOKUP(Orders_Table[[#This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_xlfn.XLOOKUP(Orders_Table[[#This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_xlfn.XLOOKUP(Orders_Table[[#This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_xlfn.XLOOKUP(Orders_Table[[#This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_xlfn.XLOOKUP(Orders_Table[[#This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_xlfn.XLOOKUP(Orders_Table[[#This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_xlfn.XLOOKUP(Orders_Table[[#This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_xlfn.XLOOKUP(Orders_Table[[#This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_xlfn.XLOOKUP(Orders_Table[[#This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_xlfn.XLOOKUP(Orders_Table[[#This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_xlfn.XLOOKUP(Orders_Table[[#This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_xlfn.XLOOKUP(Orders_Table[[#This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_xlfn.XLOOKUP(Orders_Table[[#This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_xlfn.XLOOKUP(Orders_Table[[#This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_xlfn.XLOOKUP(Orders_Table[[#This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_xlfn.XLOOKUP(Orders_Table[[#This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_xlfn.XLOOKUP(Orders_Table[[#This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_xlfn.XLOOKUP(Orders_Table[[#This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_xlfn.XLOOKUP(Orders_Table[[#This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_xlfn.XLOOKUP(Orders_Table[[#This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_xlfn.XLOOKUP(Orders_Table[[#This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_xlfn.XLOOKUP(Orders_Table[[#This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_xlfn.XLOOKUP(Orders_Table[[#This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_xlfn.XLOOKUP(Orders_Table[[#This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_xlfn.XLOOKUP(Orders_Table[[#This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_xlfn.XLOOKUP(Orders_Table[[#This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 "Robusta", IF(I771 = "Exc","Excelsa", IF(I771="Ara","Arabica", IF(I771="Lib", "Liberica",""))))</f>
        <v>Robusta</v>
      </c>
      <c r="O771" t="str">
        <f t="shared" ref="O771:O834" si="38">IF(J771="M","Medium",IF(J771="L","Light",IF(J771="D","Dark","")))</f>
        <v>Medium</v>
      </c>
      <c r="P771" t="str">
        <f>_xlfn.XLOOKUP(Orders_Table[[#This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_xlfn.XLOOKUP(Orders_Table[[#This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_xlfn.XLOOKUP(Orders_Table[[#This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_xlfn.XLOOKUP(Orders_Table[[#This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_xlfn.XLOOKUP(Orders_Table[[#This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_xlfn.XLOOKUP(Orders_Table[[#This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_xlfn.XLOOKUP(Orders_Table[[#This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_xlfn.XLOOKUP(Orders_Table[[#This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_xlfn.XLOOKUP(Orders_Table[[#This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_xlfn.XLOOKUP(Orders_Table[[#This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_xlfn.XLOOKUP(Orders_Table[[#This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_xlfn.XLOOKUP(Orders_Table[[#This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_xlfn.XLOOKUP(Orders_Table[[#This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_xlfn.XLOOKUP(Orders_Table[[#This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_xlfn.XLOOKUP(Orders_Table[[#This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_xlfn.XLOOKUP(Orders_Table[[#This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_xlfn.XLOOKUP(Orders_Table[[#This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_xlfn.XLOOKUP(Orders_Table[[#This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_xlfn.XLOOKUP(Orders_Table[[#This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_xlfn.XLOOKUP(Orders_Table[[#This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_xlfn.XLOOKUP(Orders_Table[[#This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_xlfn.XLOOKUP(Orders_Table[[#This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_xlfn.XLOOKUP(Orders_Table[[#This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_xlfn.XLOOKUP(Orders_Table[[#This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_xlfn.XLOOKUP(Orders_Table[[#This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_xlfn.XLOOKUP(Orders_Table[[#This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_xlfn.XLOOKUP(Orders_Table[[#This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_xlfn.XLOOKUP(Orders_Table[[#This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_xlfn.XLOOKUP(Orders_Table[[#This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_xlfn.XLOOKUP(Orders_Table[[#This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_xlfn.XLOOKUP(Orders_Table[[#This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_xlfn.XLOOKUP(Orders_Table[[#This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_xlfn.XLOOKUP(Orders_Table[[#This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_xlfn.XLOOKUP(Orders_Table[[#This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_xlfn.XLOOKUP(Orders_Table[[#This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_xlfn.XLOOKUP(Orders_Table[[#This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_xlfn.XLOOKUP(Orders_Table[[#This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_xlfn.XLOOKUP(Orders_Table[[#This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_xlfn.XLOOKUP(Orders_Table[[#This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_xlfn.XLOOKUP(Orders_Table[[#This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_xlfn.XLOOKUP(Orders_Table[[#This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_xlfn.XLOOKUP(Orders_Table[[#This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_xlfn.XLOOKUP(Orders_Table[[#This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_xlfn.XLOOKUP(Orders_Table[[#This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_xlfn.XLOOKUP(Orders_Table[[#This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_xlfn.XLOOKUP(Orders_Table[[#This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_xlfn.XLOOKUP(Orders_Table[[#This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_xlfn.XLOOKUP(Orders_Table[[#This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_xlfn.XLOOKUP(Orders_Table[[#This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_xlfn.XLOOKUP(Orders_Table[[#This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_xlfn.XLOOKUP(Orders_Table[[#This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_xlfn.XLOOKUP(Orders_Table[[#This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_xlfn.XLOOKUP(Orders_Table[[#This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_xlfn.XLOOKUP(Orders_Table[[#This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_xlfn.XLOOKUP(Orders_Table[[#This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_xlfn.XLOOKUP(Orders_Table[[#This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_xlfn.XLOOKUP(Orders_Table[[#This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_xlfn.XLOOKUP(Orders_Table[[#This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_xlfn.XLOOKUP(Orders_Table[[#This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_xlfn.XLOOKUP(Orders_Table[[#This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_xlfn.XLOOKUP(Orders_Table[[#This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_xlfn.XLOOKUP(Orders_Table[[#This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_xlfn.XLOOKUP(Orders_Table[[#This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_xlfn.XLOOKUP(Orders_Table[[#This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 "Robusta", IF(I835 = "Exc","Excelsa", IF(I835="Ara","Arabica", IF(I835="Lib", "Liberica",""))))</f>
        <v>Robusta</v>
      </c>
      <c r="O835" t="str">
        <f t="shared" ref="O835:O898" si="41">IF(J835="M","Medium",IF(J835="L","Light",IF(J835="D","Dark","")))</f>
        <v>Dark</v>
      </c>
      <c r="P835" t="str">
        <f>_xlfn.XLOOKUP(Orders_Table[[#This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_xlfn.XLOOKUP(Orders_Table[[#This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_xlfn.XLOOKUP(Orders_Table[[#This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_xlfn.XLOOKUP(Orders_Table[[#This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_xlfn.XLOOKUP(Orders_Table[[#This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_xlfn.XLOOKUP(Orders_Table[[#This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_xlfn.XLOOKUP(Orders_Table[[#This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_xlfn.XLOOKUP(Orders_Table[[#This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_xlfn.XLOOKUP(Orders_Table[[#This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_xlfn.XLOOKUP(Orders_Table[[#This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_xlfn.XLOOKUP(Orders_Table[[#This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_xlfn.XLOOKUP(Orders_Table[[#This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_xlfn.XLOOKUP(Orders_Table[[#This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_xlfn.XLOOKUP(Orders_Table[[#This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_xlfn.XLOOKUP(Orders_Table[[#This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_xlfn.XLOOKUP(Orders_Table[[#This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_xlfn.XLOOKUP(Orders_Table[[#This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_xlfn.XLOOKUP(Orders_Table[[#This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_xlfn.XLOOKUP(Orders_Table[[#This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_xlfn.XLOOKUP(Orders_Table[[#This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_xlfn.XLOOKUP(Orders_Table[[#This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_xlfn.XLOOKUP(Orders_Table[[#This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_xlfn.XLOOKUP(Orders_Table[[#This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_xlfn.XLOOKUP(Orders_Table[[#This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_xlfn.XLOOKUP(Orders_Table[[#This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_xlfn.XLOOKUP(Orders_Table[[#This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_xlfn.XLOOKUP(Orders_Table[[#This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_xlfn.XLOOKUP(Orders_Table[[#This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_xlfn.XLOOKUP(Orders_Table[[#This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_xlfn.XLOOKUP(Orders_Table[[#This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_xlfn.XLOOKUP(Orders_Table[[#This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_xlfn.XLOOKUP(Orders_Table[[#This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_xlfn.XLOOKUP(Orders_Table[[#This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_xlfn.XLOOKUP(Orders_Table[[#This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_xlfn.XLOOKUP(Orders_Table[[#This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_xlfn.XLOOKUP(Orders_Table[[#This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_xlfn.XLOOKUP(Orders_Table[[#This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_xlfn.XLOOKUP(Orders_Table[[#This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_xlfn.XLOOKUP(Orders_Table[[#This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_xlfn.XLOOKUP(Orders_Table[[#This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_xlfn.XLOOKUP(Orders_Table[[#This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_xlfn.XLOOKUP(Orders_Table[[#This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_xlfn.XLOOKUP(Orders_Table[[#This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_xlfn.XLOOKUP(Orders_Table[[#This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_xlfn.XLOOKUP(Orders_Table[[#This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_xlfn.XLOOKUP(Orders_Table[[#This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_xlfn.XLOOKUP(Orders_Table[[#This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_xlfn.XLOOKUP(Orders_Table[[#This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_xlfn.XLOOKUP(Orders_Table[[#This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_xlfn.XLOOKUP(Orders_Table[[#This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_xlfn.XLOOKUP(Orders_Table[[#This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_xlfn.XLOOKUP(Orders_Table[[#This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_xlfn.XLOOKUP(Orders_Table[[#This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_xlfn.XLOOKUP(Orders_Table[[#This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_xlfn.XLOOKUP(Orders_Table[[#This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_xlfn.XLOOKUP(Orders_Table[[#This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_xlfn.XLOOKUP(Orders_Table[[#This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_xlfn.XLOOKUP(Orders_Table[[#This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_xlfn.XLOOKUP(Orders_Table[[#This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_xlfn.XLOOKUP(Orders_Table[[#This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_xlfn.XLOOKUP(Orders_Table[[#This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_xlfn.XLOOKUP(Orders_Table[[#This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_xlfn.XLOOKUP(Orders_Table[[#This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_xlfn.XLOOKUP(Orders_Table[[#This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 "Robusta", IF(I899 = "Exc","Excelsa", IF(I899="Ara","Arabica", IF(I899="Lib", "Liberica",""))))</f>
        <v>Excelsa</v>
      </c>
      <c r="O899" t="str">
        <f t="shared" ref="O899:O962" si="44">IF(J899="M","Medium",IF(J899="L","Light",IF(J899="D","Dark","")))</f>
        <v>Dark</v>
      </c>
      <c r="P899" t="str">
        <f>_xlfn.XLOOKUP(Orders_Table[[#This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_xlfn.XLOOKUP(Orders_Table[[#This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_xlfn.XLOOKUP(Orders_Table[[#This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_xlfn.XLOOKUP(Orders_Table[[#This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_xlfn.XLOOKUP(Orders_Table[[#This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_xlfn.XLOOKUP(Orders_Table[[#This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_xlfn.XLOOKUP(Orders_Table[[#This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_xlfn.XLOOKUP(Orders_Table[[#This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_xlfn.XLOOKUP(Orders_Table[[#This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_xlfn.XLOOKUP(Orders_Table[[#This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_xlfn.XLOOKUP(Orders_Table[[#This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_xlfn.XLOOKUP(Orders_Table[[#This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_xlfn.XLOOKUP(Orders_Table[[#This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_xlfn.XLOOKUP(Orders_Table[[#This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_xlfn.XLOOKUP(Orders_Table[[#This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_xlfn.XLOOKUP(Orders_Table[[#This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_xlfn.XLOOKUP(Orders_Table[[#This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_xlfn.XLOOKUP(Orders_Table[[#This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_xlfn.XLOOKUP(Orders_Table[[#This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_xlfn.XLOOKUP(Orders_Table[[#This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_xlfn.XLOOKUP(Orders_Table[[#This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_xlfn.XLOOKUP(Orders_Table[[#This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_xlfn.XLOOKUP(Orders_Table[[#This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_xlfn.XLOOKUP(Orders_Table[[#This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_xlfn.XLOOKUP(Orders_Table[[#This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_xlfn.XLOOKUP(Orders_Table[[#This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_xlfn.XLOOKUP(Orders_Table[[#This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_xlfn.XLOOKUP(Orders_Table[[#This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_xlfn.XLOOKUP(Orders_Table[[#This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_xlfn.XLOOKUP(Orders_Table[[#This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_xlfn.XLOOKUP(Orders_Table[[#This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_xlfn.XLOOKUP(Orders_Table[[#This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_xlfn.XLOOKUP(Orders_Table[[#This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_xlfn.XLOOKUP(Orders_Table[[#This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_xlfn.XLOOKUP(Orders_Table[[#This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_xlfn.XLOOKUP(Orders_Table[[#This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_xlfn.XLOOKUP(Orders_Table[[#This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_xlfn.XLOOKUP(Orders_Table[[#This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_xlfn.XLOOKUP(Orders_Table[[#This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_xlfn.XLOOKUP(Orders_Table[[#This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_xlfn.XLOOKUP(Orders_Table[[#This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_xlfn.XLOOKUP(Orders_Table[[#This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_xlfn.XLOOKUP(Orders_Table[[#This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_xlfn.XLOOKUP(Orders_Table[[#This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_xlfn.XLOOKUP(Orders_Table[[#This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_xlfn.XLOOKUP(Orders_Table[[#This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_xlfn.XLOOKUP(Orders_Table[[#This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_xlfn.XLOOKUP(Orders_Table[[#This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_xlfn.XLOOKUP(Orders_Table[[#This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_xlfn.XLOOKUP(Orders_Table[[#This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_xlfn.XLOOKUP(Orders_Table[[#This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_xlfn.XLOOKUP(Orders_Table[[#This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_xlfn.XLOOKUP(Orders_Table[[#This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_xlfn.XLOOKUP(Orders_Table[[#This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_xlfn.XLOOKUP(Orders_Table[[#This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_xlfn.XLOOKUP(Orders_Table[[#This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_xlfn.XLOOKUP(Orders_Table[[#This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_xlfn.XLOOKUP(Orders_Table[[#This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_xlfn.XLOOKUP(Orders_Table[[#This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_xlfn.XLOOKUP(Orders_Table[[#This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_xlfn.XLOOKUP(Orders_Table[[#This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_xlfn.XLOOKUP(Orders_Table[[#This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_xlfn.XLOOKUP(Orders_Table[[#This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_xlfn.XLOOKUP(Orders_Table[[#This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 "Robusta", IF(I963 = "Exc","Excelsa", IF(I963="Ara","Arabica", IF(I963="Lib", "Liberica",""))))</f>
        <v>Arabica</v>
      </c>
      <c r="O963" t="str">
        <f t="shared" ref="O963:O1001" si="47">IF(J963="M","Medium",IF(J963="L","Light",IF(J963="D","Dark","")))</f>
        <v>Dark</v>
      </c>
      <c r="P963" t="str">
        <f>_xlfn.XLOOKUP(Orders_Table[[#This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_xlfn.XLOOKUP(Orders_Table[[#This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_xlfn.XLOOKUP(Orders_Table[[#This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_xlfn.XLOOKUP(Orders_Table[[#This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_xlfn.XLOOKUP(Orders_Table[[#This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_xlfn.XLOOKUP(Orders_Table[[#This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_xlfn.XLOOKUP(Orders_Table[[#This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_xlfn.XLOOKUP(Orders_Table[[#This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_xlfn.XLOOKUP(Orders_Table[[#This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_xlfn.XLOOKUP(Orders_Table[[#This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_xlfn.XLOOKUP(Orders_Table[[#This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_xlfn.XLOOKUP(Orders_Table[[#This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_xlfn.XLOOKUP(Orders_Table[[#This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_xlfn.XLOOKUP(Orders_Table[[#This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_xlfn.XLOOKUP(Orders_Table[[#This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_xlfn.XLOOKUP(Orders_Table[[#This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_xlfn.XLOOKUP(Orders_Table[[#This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_xlfn.XLOOKUP(Orders_Table[[#This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_xlfn.XLOOKUP(Orders_Table[[#This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_xlfn.XLOOKUP(Orders_Table[[#This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_xlfn.XLOOKUP(Orders_Table[[#This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_xlfn.XLOOKUP(Orders_Table[[#This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_xlfn.XLOOKUP(Orders_Table[[#This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_xlfn.XLOOKUP(Orders_Table[[#This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_xlfn.XLOOKUP(Orders_Table[[#This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_xlfn.XLOOKUP(Orders_Table[[#This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_xlfn.XLOOKUP(Orders_Table[[#This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_xlfn.XLOOKUP(Orders_Table[[#This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_xlfn.XLOOKUP(Orders_Table[[#This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_xlfn.XLOOKUP(Orders_Table[[#This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_xlfn.XLOOKUP(Orders_Table[[#This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_xlfn.XLOOKUP(Orders_Table[[#This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_xlfn.XLOOKUP(Orders_Table[[#This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_xlfn.XLOOKUP(Orders_Table[[#This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_xlfn.XLOOKUP(Orders_Table[[#This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_xlfn.XLOOKUP(Orders_Table[[#This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_xlfn.XLOOKUP(Orders_Table[[#This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_xlfn.XLOOKUP(Orders_Table[[#This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_xlfn.XLOOKUP(Orders_Table[[#This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7"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 Sales</vt:lpstr>
      <vt:lpstr>Country Bar Chart</vt:lpstr>
      <vt:lpstr>Top 5 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Lynette Ndirangu</cp:lastModifiedBy>
  <cp:revision/>
  <dcterms:created xsi:type="dcterms:W3CDTF">2022-11-26T09:51:45Z</dcterms:created>
  <dcterms:modified xsi:type="dcterms:W3CDTF">2026-07-21T16:24:00Z</dcterms:modified>
  <cp:category/>
  <cp:contentStatus/>
</cp:coreProperties>
</file>